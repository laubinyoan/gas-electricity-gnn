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5382_umons_ac_be/Documents/Codes/4-GasElec Belgium/Data Belgium/"/>
    </mc:Choice>
  </mc:AlternateContent>
  <xr:revisionPtr revIDLastSave="742" documentId="11_B1AC130908DA0839F5B325778B7B615089BE7D67" xr6:coauthVersionLast="47" xr6:coauthVersionMax="47" xr10:uidLastSave="{5EBDFF0E-7B1F-4494-98A7-32A2C13B3C05}"/>
  <bookViews>
    <workbookView xWindow="-110" yWindow="-110" windowWidth="25820" windowHeight="15500" tabRatio="855" activeTab="7" xr2:uid="{00000000-000D-0000-FFFF-FFFF00000000}"/>
  </bookViews>
  <sheets>
    <sheet name="General" sheetId="1" r:id="rId1"/>
    <sheet name="Buses" sheetId="2" r:id="rId2"/>
    <sheet name="LinesMerged" sheetId="21" r:id="rId3"/>
    <sheet name="Gen" sheetId="4" r:id="rId4"/>
    <sheet name="GenMap" sheetId="23" r:id="rId5"/>
    <sheet name="WindMap" sheetId="24" r:id="rId6"/>
    <sheet name="Renew" sheetId="22" r:id="rId7"/>
    <sheet name="Imp" sheetId="8" r:id="rId8"/>
    <sheet name="ImpMap" sheetId="25" r:id="rId9"/>
  </sheets>
  <definedNames>
    <definedName name="_xlnm._FilterDatabase" localSheetId="1" hidden="1">Buses!$A$1:$I$46</definedName>
    <definedName name="_xlnm._FilterDatabase" localSheetId="3" hidden="1">Gen!$A$1:$M$1</definedName>
    <definedName name="_xlnm._FilterDatabase" localSheetId="7" hidden="1">Imp!$A$1:$I$1</definedName>
    <definedName name="_xlnm._FilterDatabase" localSheetId="6" hidden="1">Renew!$A$1:$E$1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21" l="1"/>
  <c r="N4" i="21"/>
  <c r="N5" i="21"/>
  <c r="N6" i="21"/>
  <c r="N7" i="21"/>
  <c r="N8" i="21"/>
  <c r="N9" i="21"/>
  <c r="N10" i="21"/>
  <c r="N11" i="21"/>
  <c r="N12" i="21"/>
  <c r="N13" i="21"/>
  <c r="N14" i="21"/>
  <c r="N15" i="21"/>
  <c r="N16" i="21"/>
  <c r="N17" i="21"/>
  <c r="N18" i="21"/>
  <c r="N19" i="21"/>
  <c r="N20" i="21"/>
  <c r="N21" i="21"/>
  <c r="N22" i="21"/>
  <c r="N23" i="21"/>
  <c r="N24" i="21"/>
  <c r="N25" i="21"/>
  <c r="N26" i="21"/>
  <c r="N27" i="21"/>
  <c r="N28" i="21"/>
  <c r="N29" i="21"/>
  <c r="N30" i="21"/>
  <c r="N31" i="21"/>
  <c r="N32" i="21"/>
  <c r="N33" i="21"/>
  <c r="N34" i="21"/>
  <c r="N35" i="21"/>
  <c r="N36" i="21"/>
  <c r="N37" i="21"/>
  <c r="N38" i="21"/>
  <c r="N39" i="21"/>
  <c r="N40" i="21"/>
  <c r="N41" i="21"/>
  <c r="N42" i="21"/>
  <c r="N43" i="21"/>
  <c r="N44" i="21"/>
  <c r="N45" i="21"/>
  <c r="N46" i="21"/>
  <c r="N47" i="21"/>
  <c r="N48" i="21"/>
  <c r="N49" i="21"/>
  <c r="N50" i="21"/>
  <c r="N51" i="21"/>
  <c r="N52" i="21"/>
  <c r="N53" i="21"/>
  <c r="N54" i="21"/>
  <c r="N55" i="21"/>
  <c r="N56" i="21"/>
  <c r="N57" i="21"/>
  <c r="N58" i="21"/>
  <c r="N59" i="21"/>
  <c r="N60" i="21"/>
  <c r="N61" i="21"/>
  <c r="N62" i="21"/>
  <c r="N63" i="21"/>
  <c r="N64" i="21"/>
  <c r="N65" i="21"/>
  <c r="N66" i="21"/>
  <c r="N2" i="21"/>
  <c r="M11" i="21"/>
  <c r="M12" i="21"/>
  <c r="M13" i="21"/>
  <c r="M14" i="21"/>
  <c r="M20" i="21"/>
  <c r="M21" i="21"/>
  <c r="M22" i="21"/>
  <c r="M23" i="21"/>
  <c r="M24" i="21"/>
  <c r="M25" i="21"/>
  <c r="M26" i="21"/>
  <c r="M27" i="21"/>
  <c r="M28" i="21"/>
  <c r="M34" i="21"/>
  <c r="M35" i="21"/>
  <c r="M36" i="21"/>
  <c r="M37" i="21"/>
  <c r="M38" i="21"/>
  <c r="M44" i="21"/>
  <c r="M45" i="21"/>
  <c r="M46" i="21"/>
  <c r="M47" i="21"/>
  <c r="M48" i="21"/>
  <c r="M49" i="21"/>
  <c r="M50" i="21"/>
  <c r="M51" i="21"/>
  <c r="M52" i="21"/>
  <c r="M57" i="21"/>
  <c r="M58" i="21"/>
  <c r="M59" i="21"/>
  <c r="M60" i="21"/>
  <c r="M62" i="21"/>
  <c r="M2" i="21"/>
  <c r="L3" i="21"/>
  <c r="M3" i="21" s="1"/>
  <c r="L4" i="21"/>
  <c r="M4" i="21" s="1"/>
  <c r="L5" i="21"/>
  <c r="M5" i="21" s="1"/>
  <c r="L6" i="21"/>
  <c r="M6" i="21" s="1"/>
  <c r="L7" i="21"/>
  <c r="M7" i="21" s="1"/>
  <c r="L8" i="21"/>
  <c r="M8" i="21" s="1"/>
  <c r="L9" i="21"/>
  <c r="M9" i="21" s="1"/>
  <c r="L10" i="21"/>
  <c r="M10" i="21" s="1"/>
  <c r="L11" i="21"/>
  <c r="L12" i="21"/>
  <c r="L13" i="21"/>
  <c r="L14" i="21"/>
  <c r="L15" i="21"/>
  <c r="M15" i="21" s="1"/>
  <c r="L16" i="21"/>
  <c r="M16" i="21" s="1"/>
  <c r="L17" i="21"/>
  <c r="M17" i="21" s="1"/>
  <c r="L18" i="21"/>
  <c r="M18" i="21" s="1"/>
  <c r="L19" i="21"/>
  <c r="M19" i="21" s="1"/>
  <c r="L20" i="21"/>
  <c r="L21" i="21"/>
  <c r="L22" i="21"/>
  <c r="L23" i="21"/>
  <c r="L24" i="21"/>
  <c r="L25" i="21"/>
  <c r="L26" i="21"/>
  <c r="L27" i="21"/>
  <c r="L28" i="21"/>
  <c r="L29" i="21"/>
  <c r="M29" i="21" s="1"/>
  <c r="L30" i="21"/>
  <c r="M30" i="21" s="1"/>
  <c r="L31" i="21"/>
  <c r="M31" i="21" s="1"/>
  <c r="L32" i="21"/>
  <c r="M32" i="21" s="1"/>
  <c r="L33" i="21"/>
  <c r="M33" i="21" s="1"/>
  <c r="L34" i="21"/>
  <c r="L35" i="21"/>
  <c r="L36" i="21"/>
  <c r="L37" i="21"/>
  <c r="L38" i="21"/>
  <c r="L39" i="21"/>
  <c r="M39" i="21" s="1"/>
  <c r="L40" i="21"/>
  <c r="M40" i="21" s="1"/>
  <c r="L41" i="21"/>
  <c r="M41" i="21" s="1"/>
  <c r="L42" i="21"/>
  <c r="M42" i="21" s="1"/>
  <c r="L43" i="21"/>
  <c r="M43" i="21" s="1"/>
  <c r="L44" i="21"/>
  <c r="L45" i="21"/>
  <c r="L46" i="21"/>
  <c r="L47" i="21"/>
  <c r="L48" i="21"/>
  <c r="L49" i="21"/>
  <c r="L50" i="21"/>
  <c r="L51" i="21"/>
  <c r="L52" i="21"/>
  <c r="L53" i="21"/>
  <c r="M53" i="21" s="1"/>
  <c r="L54" i="21"/>
  <c r="M54" i="21" s="1"/>
  <c r="L55" i="21"/>
  <c r="M55" i="21" s="1"/>
  <c r="L56" i="21"/>
  <c r="M56" i="21" s="1"/>
  <c r="L61" i="21"/>
  <c r="M61" i="21" s="1"/>
  <c r="L62" i="21"/>
  <c r="L63" i="21"/>
  <c r="M63" i="21" s="1"/>
  <c r="L64" i="21"/>
  <c r="M64" i="21" s="1"/>
  <c r="L65" i="21"/>
  <c r="M65" i="21" s="1"/>
  <c r="L66" i="21"/>
  <c r="M66" i="21" s="1"/>
  <c r="L2" i="21"/>
  <c r="G4" i="4"/>
  <c r="I8" i="8" l="1"/>
  <c r="I7" i="8"/>
  <c r="I2" i="8"/>
  <c r="G46" i="2"/>
  <c r="I45" i="2"/>
  <c r="H45" i="2"/>
  <c r="G45" i="2"/>
  <c r="I44" i="2"/>
  <c r="H44" i="2"/>
  <c r="G44" i="2"/>
  <c r="I43" i="2"/>
  <c r="H43" i="2"/>
  <c r="G43" i="2"/>
  <c r="G42" i="2"/>
  <c r="I41" i="2"/>
  <c r="H41" i="2"/>
  <c r="G41" i="2"/>
  <c r="G40" i="2"/>
  <c r="I39" i="2"/>
  <c r="H39" i="2"/>
  <c r="G39" i="2"/>
  <c r="G38" i="2"/>
  <c r="I37" i="2"/>
  <c r="H37" i="2"/>
  <c r="G37" i="2"/>
  <c r="I36" i="2"/>
  <c r="H36" i="2"/>
  <c r="G36" i="2"/>
  <c r="I35" i="2"/>
  <c r="H35" i="2"/>
  <c r="G35" i="2"/>
  <c r="I34" i="2"/>
  <c r="H34" i="2"/>
  <c r="G34" i="2"/>
  <c r="I33" i="2"/>
  <c r="H33" i="2"/>
  <c r="G33" i="2"/>
  <c r="I32" i="2"/>
  <c r="H32" i="2"/>
  <c r="G32" i="2"/>
  <c r="G31" i="2"/>
  <c r="I30" i="2"/>
  <c r="H30" i="2"/>
  <c r="G30" i="2"/>
  <c r="I29" i="2"/>
  <c r="H29" i="2"/>
  <c r="G29" i="2"/>
  <c r="I28" i="2"/>
  <c r="H28" i="2"/>
  <c r="G28" i="2"/>
  <c r="I27" i="2"/>
  <c r="H27" i="2"/>
  <c r="G27" i="2"/>
  <c r="I26" i="2"/>
  <c r="H26" i="2"/>
  <c r="G26" i="2"/>
  <c r="G25" i="2"/>
  <c r="I24" i="2"/>
  <c r="H24" i="2"/>
  <c r="G24" i="2"/>
  <c r="I23" i="2"/>
  <c r="H23" i="2"/>
  <c r="G23" i="2"/>
  <c r="I22" i="2"/>
  <c r="H22" i="2"/>
  <c r="G22" i="2"/>
  <c r="I21" i="2"/>
  <c r="H21" i="2"/>
  <c r="G21" i="2"/>
  <c r="I20" i="2"/>
  <c r="H20" i="2"/>
  <c r="G20" i="2"/>
  <c r="G19" i="2"/>
  <c r="I18" i="2"/>
  <c r="H18" i="2"/>
  <c r="G18" i="2"/>
  <c r="I17" i="2"/>
  <c r="H17" i="2"/>
  <c r="G17" i="2"/>
  <c r="G16" i="2"/>
  <c r="I15" i="2"/>
  <c r="H15" i="2"/>
  <c r="G15" i="2"/>
  <c r="I14" i="2"/>
  <c r="H14" i="2"/>
  <c r="G14" i="2"/>
  <c r="G13" i="2"/>
  <c r="G12" i="2"/>
  <c r="I11" i="2"/>
  <c r="H11" i="2"/>
  <c r="G11" i="2"/>
  <c r="G10" i="2"/>
  <c r="I9" i="2"/>
  <c r="H9" i="2"/>
  <c r="G9" i="2"/>
  <c r="I8" i="2"/>
  <c r="H8" i="2"/>
  <c r="G8" i="2"/>
  <c r="G7" i="2"/>
  <c r="I6" i="2"/>
  <c r="H6" i="2"/>
  <c r="G6" i="2"/>
  <c r="I5" i="2"/>
  <c r="H5" i="2"/>
  <c r="G5" i="2"/>
  <c r="G4" i="2"/>
  <c r="I3" i="2"/>
  <c r="H3" i="2"/>
  <c r="G3" i="2"/>
  <c r="I2" i="2"/>
  <c r="H2" i="2"/>
  <c r="G2" i="2"/>
</calcChain>
</file>

<file path=xl/sharedStrings.xml><?xml version="1.0" encoding="utf-8"?>
<sst xmlns="http://schemas.openxmlformats.org/spreadsheetml/2006/main" count="505" uniqueCount="188">
  <si>
    <t>YearlyDemand_TWh/year</t>
  </si>
  <si>
    <t>CarbonCost_€/tonCO2</t>
  </si>
  <si>
    <t>MaxPowerImports_MW</t>
  </si>
  <si>
    <t>SB_MVA</t>
  </si>
  <si>
    <t>RefBus</t>
  </si>
  <si>
    <t>MERCA</t>
  </si>
  <si>
    <t>Node</t>
  </si>
  <si>
    <t>Name</t>
  </si>
  <si>
    <t>Province</t>
  </si>
  <si>
    <t>Type</t>
  </si>
  <si>
    <t>UB_kV</t>
  </si>
  <si>
    <t>Transfos</t>
  </si>
  <si>
    <t>Load_share_%</t>
  </si>
  <si>
    <t>Pv_share_%</t>
  </si>
  <si>
    <t>Onshore_share_%</t>
  </si>
  <si>
    <t>ACHEN</t>
  </si>
  <si>
    <t>Namur</t>
  </si>
  <si>
    <t>Load</t>
  </si>
  <si>
    <t>WV</t>
  </si>
  <si>
    <t>-</t>
  </si>
  <si>
    <t>AUBAN220</t>
  </si>
  <si>
    <t>Luxembourg</t>
  </si>
  <si>
    <t>AUBAN380</t>
  </si>
  <si>
    <t>AVLGM</t>
  </si>
  <si>
    <t>AWIRS</t>
  </si>
  <si>
    <t>Liege</t>
  </si>
  <si>
    <t>BERN</t>
  </si>
  <si>
    <t>Transfer</t>
  </si>
  <si>
    <t>BRUEG</t>
  </si>
  <si>
    <t>VB+BW+BXL</t>
  </si>
  <si>
    <t>BRUME</t>
  </si>
  <si>
    <t>BUGG+</t>
  </si>
  <si>
    <t>OV</t>
  </si>
  <si>
    <t>CHAMP</t>
  </si>
  <si>
    <t>COO</t>
  </si>
  <si>
    <t>COURC</t>
  </si>
  <si>
    <t>Hainaut</t>
  </si>
  <si>
    <t>DOEL</t>
  </si>
  <si>
    <t>EEKLN</t>
  </si>
  <si>
    <t>GEZEL</t>
  </si>
  <si>
    <t>GOUY</t>
  </si>
  <si>
    <t>GRAMM</t>
  </si>
  <si>
    <t>HORTA</t>
  </si>
  <si>
    <t>IZGEM</t>
  </si>
  <si>
    <t>JUPIL</t>
  </si>
  <si>
    <t>LINT</t>
  </si>
  <si>
    <t>Antwerpen</t>
  </si>
  <si>
    <t>LIXHE220</t>
  </si>
  <si>
    <t>LIXHE380</t>
  </si>
  <si>
    <t>MAERL</t>
  </si>
  <si>
    <t>MARC+</t>
  </si>
  <si>
    <t>MASSE</t>
  </si>
  <si>
    <t>MEERH</t>
  </si>
  <si>
    <t>MEKI+</t>
  </si>
  <si>
    <t>NEMO</t>
  </si>
  <si>
    <t>RIMIE220</t>
  </si>
  <si>
    <t>RIMIE380</t>
  </si>
  <si>
    <t>RODE+</t>
  </si>
  <si>
    <t>ROMSE</t>
  </si>
  <si>
    <t>SENO+</t>
  </si>
  <si>
    <t>SERAI</t>
  </si>
  <si>
    <t>SLIJKENS</t>
  </si>
  <si>
    <t>STAM+</t>
  </si>
  <si>
    <t>STEVN</t>
  </si>
  <si>
    <t>TIHA1</t>
  </si>
  <si>
    <t>VANYK</t>
  </si>
  <si>
    <t>Limburg</t>
  </si>
  <si>
    <t>VERBR</t>
  </si>
  <si>
    <t>VILLE</t>
  </si>
  <si>
    <t>ZANDV</t>
  </si>
  <si>
    <t>ZUTE+</t>
  </si>
  <si>
    <t>Line</t>
  </si>
  <si>
    <t>FromNode</t>
  </si>
  <si>
    <t>ToNode</t>
  </si>
  <si>
    <t>FromNodeName</t>
  </si>
  <si>
    <t>ToNodeName</t>
  </si>
  <si>
    <t>Length_km</t>
  </si>
  <si>
    <t>Inom_A</t>
  </si>
  <si>
    <t>R_ohm</t>
  </si>
  <si>
    <t>X_ohm</t>
  </si>
  <si>
    <t>b_S</t>
  </si>
  <si>
    <t>wC_µS</t>
  </si>
  <si>
    <t>Pmax_MW</t>
  </si>
  <si>
    <t>Lat_from</t>
  </si>
  <si>
    <t>Long_from</t>
  </si>
  <si>
    <t>380/220</t>
  </si>
  <si>
    <t>Generator</t>
  </si>
  <si>
    <t>Pmin_MW</t>
  </si>
  <si>
    <t>Fuel</t>
  </si>
  <si>
    <t>Efficiency</t>
  </si>
  <si>
    <t>VOM_€/MWh</t>
  </si>
  <si>
    <t>FuelCost_€/MWh_fuel</t>
  </si>
  <si>
    <t>CCGT-GT</t>
  </si>
  <si>
    <t>Gas</t>
  </si>
  <si>
    <t>OCGT (CHP)</t>
  </si>
  <si>
    <t>CCGT (CHP)</t>
  </si>
  <si>
    <t>NU</t>
  </si>
  <si>
    <t>Uranium</t>
  </si>
  <si>
    <t>OCGT</t>
  </si>
  <si>
    <t>CCGT</t>
  </si>
  <si>
    <t>Euro-Silo</t>
  </si>
  <si>
    <t>Fluxys LNG Zeebrugge WKK</t>
  </si>
  <si>
    <t>CCGT-GT (CHP)</t>
  </si>
  <si>
    <t>INESCO ST</t>
  </si>
  <si>
    <t>CCGT-ST (CHP)</t>
  </si>
  <si>
    <t>IZEGEM</t>
  </si>
  <si>
    <t>Sappi Lanaken GT</t>
  </si>
  <si>
    <t>Syral Aalst GT</t>
  </si>
  <si>
    <t>T-Power</t>
  </si>
  <si>
    <t>Zandvliet Power</t>
  </si>
  <si>
    <t>Zelzate 2 Knippegroen</t>
  </si>
  <si>
    <t>Interconnection</t>
  </si>
  <si>
    <t>Country</t>
  </si>
  <si>
    <t>Price_€/MWh</t>
  </si>
  <si>
    <t>Emax_year_TWh</t>
  </si>
  <si>
    <t xml:space="preserve">NemoLink </t>
  </si>
  <si>
    <t>UnitedKingdom</t>
  </si>
  <si>
    <t>HVDC</t>
  </si>
  <si>
    <t>Netherlands</t>
  </si>
  <si>
    <t>HVAC</t>
  </si>
  <si>
    <t>Alegro</t>
  </si>
  <si>
    <t>Germany</t>
  </si>
  <si>
    <t>Aubange - Moulaine 1</t>
  </si>
  <si>
    <t>France</t>
  </si>
  <si>
    <t>Monceau - Chooz</t>
  </si>
  <si>
    <t>Achene - Lonny</t>
  </si>
  <si>
    <t>HERDERSBRUG</t>
  </si>
  <si>
    <t>Marcinelle + Saint-Ghi + Amercoeur</t>
  </si>
  <si>
    <t>DROGENBOS</t>
  </si>
  <si>
    <t>Wilmarsdonk + Beveren + Monsanto + Oorderen</t>
  </si>
  <si>
    <t>Jemeppe-sur-Sambre</t>
  </si>
  <si>
    <t xml:space="preserve">EDF Luminus Angleur </t>
  </si>
  <si>
    <t xml:space="preserve">EDF Luminus Seraing </t>
  </si>
  <si>
    <t>EDF Luminus Ham + TAMINCO</t>
  </si>
  <si>
    <t>Borealis + Scheldelaan</t>
  </si>
  <si>
    <t xml:space="preserve">INESCO </t>
  </si>
  <si>
    <t>Lillo Degussa + Zwijndrecht Lanxess</t>
  </si>
  <si>
    <t>EDF Luminus Ringvaart + Ham</t>
  </si>
  <si>
    <t>DOEL 1-2-4</t>
  </si>
  <si>
    <t>TIHANGE</t>
  </si>
  <si>
    <t xml:space="preserve">Zandvliet </t>
  </si>
  <si>
    <t>Van Eyck - Maastricht</t>
  </si>
  <si>
    <t>Avelgem</t>
  </si>
  <si>
    <t>NodeName</t>
  </si>
  <si>
    <t>Offshore Wind</t>
  </si>
  <si>
    <t>Onshore Wind</t>
  </si>
  <si>
    <t>Distributed</t>
  </si>
  <si>
    <t>Zb</t>
  </si>
  <si>
    <t>b_pu</t>
  </si>
  <si>
    <t>X_pu</t>
  </si>
  <si>
    <t>Gen1</t>
  </si>
  <si>
    <t>Gen2</t>
  </si>
  <si>
    <t>Gen3</t>
  </si>
  <si>
    <t>Gen4</t>
  </si>
  <si>
    <t>Gen5</t>
  </si>
  <si>
    <t>Gen6</t>
  </si>
  <si>
    <t>Gen7</t>
  </si>
  <si>
    <t>Gen8</t>
  </si>
  <si>
    <t>Gen9</t>
  </si>
  <si>
    <t>Gen10</t>
  </si>
  <si>
    <t>Gen11</t>
  </si>
  <si>
    <t>Gen12</t>
  </si>
  <si>
    <t>Gen13</t>
  </si>
  <si>
    <t>Gen14</t>
  </si>
  <si>
    <t>Gen15</t>
  </si>
  <si>
    <t>Gen16</t>
  </si>
  <si>
    <t>Gen17</t>
  </si>
  <si>
    <t>Gen18</t>
  </si>
  <si>
    <t>Gen19</t>
  </si>
  <si>
    <t>Gen20</t>
  </si>
  <si>
    <t>Gen21</t>
  </si>
  <si>
    <t>Gen22</t>
  </si>
  <si>
    <t>Gen23</t>
  </si>
  <si>
    <t>Gen24</t>
  </si>
  <si>
    <t>Offshore</t>
  </si>
  <si>
    <t>Interco1</t>
  </si>
  <si>
    <t>Interco2</t>
  </si>
  <si>
    <t>Interco3</t>
  </si>
  <si>
    <t>Interco4</t>
  </si>
  <si>
    <t>Interco5</t>
  </si>
  <si>
    <t>Interco6</t>
  </si>
  <si>
    <t>Interco7</t>
  </si>
  <si>
    <t>Interco8</t>
  </si>
  <si>
    <t>Vilvoorde GT</t>
  </si>
  <si>
    <t>Gas node</t>
  </si>
  <si>
    <t>NA</t>
  </si>
  <si>
    <t>Ramp rate [%/h]</t>
  </si>
  <si>
    <t xml:space="preserve">Year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</si>
</sst>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0" borderId="0" xfId="0" applyAlignment="1">
      <alignment horizontal="left"/>
    </xf>
    <xf numFmtId="0" fontId="1" fillId="11" borderId="0" xfId="0" applyFont="1" applyFill="1" applyAlignment="1">
      <alignment horizontal="center" vertical="center"/>
    </xf>
    <xf numFmtId="0" fontId="1" fillId="11" borderId="0" xfId="0" applyFont="1" applyFill="1"/>
    <xf numFmtId="0" fontId="1" fillId="11" borderId="0" xfId="0" applyFont="1" applyFill="1" applyAlignment="1">
      <alignment horizontal="left"/>
    </xf>
    <xf numFmtId="0" fontId="1" fillId="11" borderId="0" xfId="0" applyFont="1" applyFill="1" applyAlignment="1">
      <alignment horizontal="left" vertical="center"/>
    </xf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0" fillId="10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Alignment="1">
      <alignment horizontal="right"/>
    </xf>
    <xf numFmtId="0" fontId="0" fillId="10" borderId="0" xfId="0" applyFill="1" applyAlignment="1">
      <alignment horizontal="right"/>
    </xf>
    <xf numFmtId="0" fontId="0" fillId="4" borderId="0" xfId="0" applyFill="1" applyAlignment="1">
      <alignment horizontal="left" vertical="top"/>
    </xf>
    <xf numFmtId="0" fontId="0" fillId="10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4" fillId="10" borderId="0" xfId="0" applyFont="1" applyFill="1" applyAlignment="1">
      <alignment vertical="center"/>
    </xf>
  </cellXfs>
  <cellStyles count="1">
    <cellStyle name="Normal" xfId="0" builtinId="0"/>
  </cellStyles>
  <dxfs count="4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>
      <selection sqref="A1:A1048576"/>
    </sheetView>
  </sheetViews>
  <sheetFormatPr baseColWidth="10" defaultColWidth="11.54296875" defaultRowHeight="14.5" x14ac:dyDescent="0.35"/>
  <cols>
    <col min="1" max="1" width="23.453125" style="1" bestFit="1" customWidth="1"/>
    <col min="2" max="2" width="20.08984375" style="1" bestFit="1" customWidth="1"/>
    <col min="3" max="3" width="23.54296875" style="1" bestFit="1" customWidth="1"/>
    <col min="4" max="4" width="9.08984375" style="1" bestFit="1" customWidth="1"/>
    <col min="5" max="5" width="7.36328125" style="1" bestFit="1" customWidth="1"/>
    <col min="6" max="6" width="11.54296875" style="1" customWidth="1"/>
    <col min="7" max="16384" width="11.54296875" style="1"/>
  </cols>
  <sheetData>
    <row r="1" spans="1:5" x14ac:dyDescent="0.3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</row>
    <row r="2" spans="1:5" x14ac:dyDescent="0.35">
      <c r="A2">
        <v>104.17</v>
      </c>
      <c r="B2" s="1">
        <v>125</v>
      </c>
      <c r="C2" s="1">
        <v>8272</v>
      </c>
      <c r="D2" s="1">
        <v>100</v>
      </c>
      <c r="E2" s="1" t="s">
        <v>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6"/>
  <sheetViews>
    <sheetView topLeftCell="A16" zoomScaleNormal="100" workbookViewId="0">
      <selection activeCell="B43" sqref="B43"/>
    </sheetView>
  </sheetViews>
  <sheetFormatPr baseColWidth="10" defaultRowHeight="14.5" x14ac:dyDescent="0.35"/>
  <cols>
    <col min="2" max="2" width="14.453125" customWidth="1"/>
    <col min="3" max="3" width="11.54296875" bestFit="1" customWidth="1"/>
    <col min="4" max="4" width="8.453125" bestFit="1" customWidth="1"/>
    <col min="5" max="5" width="9.6328125" customWidth="1"/>
    <col min="6" max="6" width="13.7265625" customWidth="1"/>
    <col min="7" max="7" width="21.81640625" bestFit="1" customWidth="1"/>
    <col min="8" max="8" width="19.54296875" bestFit="1" customWidth="1"/>
    <col min="9" max="9" width="25" bestFit="1" customWidth="1"/>
    <col min="10" max="10" width="13.453125" customWidth="1"/>
  </cols>
  <sheetData>
    <row r="1" spans="1:10" x14ac:dyDescent="0.35">
      <c r="A1" s="13" t="s">
        <v>6</v>
      </c>
      <c r="B1" s="13" t="s">
        <v>7</v>
      </c>
      <c r="C1" s="13" t="s">
        <v>8</v>
      </c>
      <c r="D1" s="13" t="s">
        <v>9</v>
      </c>
      <c r="E1" s="13" t="s">
        <v>10</v>
      </c>
      <c r="F1" s="13" t="s">
        <v>11</v>
      </c>
      <c r="G1" s="13" t="s">
        <v>12</v>
      </c>
      <c r="H1" s="13" t="s">
        <v>13</v>
      </c>
      <c r="I1" s="13" t="s">
        <v>14</v>
      </c>
      <c r="J1" s="16"/>
    </row>
    <row r="2" spans="1:10" ht="12.65" customHeight="1" x14ac:dyDescent="0.35">
      <c r="A2" s="7">
        <v>1</v>
      </c>
      <c r="B2" s="7" t="s">
        <v>15</v>
      </c>
      <c r="C2" s="7" t="s">
        <v>16</v>
      </c>
      <c r="D2" s="7" t="s">
        <v>17</v>
      </c>
      <c r="E2" s="7">
        <v>380</v>
      </c>
      <c r="F2" s="7">
        <v>270</v>
      </c>
      <c r="G2" s="7">
        <f t="shared" ref="G2:G9" si="0">F2/SUM($F$2:$F$46)*100</f>
        <v>1.5413598218873095</v>
      </c>
      <c r="H2" s="7">
        <f>3.455/2</f>
        <v>1.7275</v>
      </c>
      <c r="I2" s="7">
        <f>11.599/2</f>
        <v>5.7995000000000001</v>
      </c>
    </row>
    <row r="3" spans="1:10" x14ac:dyDescent="0.35">
      <c r="A3" s="6">
        <v>2</v>
      </c>
      <c r="B3" s="6" t="s">
        <v>20</v>
      </c>
      <c r="C3" s="6" t="s">
        <v>21</v>
      </c>
      <c r="D3" s="6" t="s">
        <v>17</v>
      </c>
      <c r="E3" s="6">
        <v>220</v>
      </c>
      <c r="F3" s="6">
        <v>240</v>
      </c>
      <c r="G3" s="6">
        <f t="shared" si="0"/>
        <v>1.3700976194553862</v>
      </c>
      <c r="H3" s="6">
        <f>2.192/4</f>
        <v>0.54800000000000004</v>
      </c>
      <c r="I3" s="6">
        <f>3.459/4</f>
        <v>0.86475000000000002</v>
      </c>
    </row>
    <row r="4" spans="1:10" x14ac:dyDescent="0.35">
      <c r="A4" s="6">
        <v>3</v>
      </c>
      <c r="B4" s="6" t="s">
        <v>22</v>
      </c>
      <c r="C4" s="6" t="s">
        <v>21</v>
      </c>
      <c r="D4" s="6" t="s">
        <v>17</v>
      </c>
      <c r="E4" s="6">
        <v>380</v>
      </c>
      <c r="F4" s="6">
        <v>30</v>
      </c>
      <c r="G4" s="6">
        <f t="shared" si="0"/>
        <v>0.17126220243192328</v>
      </c>
      <c r="H4" s="6">
        <v>0</v>
      </c>
      <c r="I4" s="6">
        <v>0</v>
      </c>
    </row>
    <row r="5" spans="1:10" x14ac:dyDescent="0.35">
      <c r="A5" s="9">
        <v>4</v>
      </c>
      <c r="B5" s="9" t="s">
        <v>23</v>
      </c>
      <c r="C5" s="9" t="s">
        <v>18</v>
      </c>
      <c r="D5" s="9" t="s">
        <v>17</v>
      </c>
      <c r="E5" s="9">
        <v>380</v>
      </c>
      <c r="F5" s="9">
        <v>1035</v>
      </c>
      <c r="G5" s="9">
        <f t="shared" si="0"/>
        <v>5.9085459839013534</v>
      </c>
      <c r="H5" s="9">
        <f>16.02/2</f>
        <v>8.01</v>
      </c>
      <c r="I5" s="9">
        <f>8.741/2</f>
        <v>4.3704999999999998</v>
      </c>
    </row>
    <row r="6" spans="1:10" x14ac:dyDescent="0.35">
      <c r="A6" s="4">
        <v>5</v>
      </c>
      <c r="B6" s="4" t="s">
        <v>24</v>
      </c>
      <c r="C6" s="4" t="s">
        <v>25</v>
      </c>
      <c r="D6" s="4" t="s">
        <v>17</v>
      </c>
      <c r="E6" s="4">
        <v>220</v>
      </c>
      <c r="F6" s="4">
        <v>560</v>
      </c>
      <c r="G6" s="4">
        <f t="shared" si="0"/>
        <v>3.196894445395901</v>
      </c>
      <c r="H6" s="4">
        <f>7.093/11</f>
        <v>0.64481818181818185</v>
      </c>
      <c r="I6" s="4">
        <f>9.825/11</f>
        <v>0.89318181818181808</v>
      </c>
    </row>
    <row r="7" spans="1:10" x14ac:dyDescent="0.35">
      <c r="A7" s="4">
        <v>6</v>
      </c>
      <c r="B7" s="4" t="s">
        <v>26</v>
      </c>
      <c r="C7" s="4" t="s">
        <v>25</v>
      </c>
      <c r="D7" s="4" t="s">
        <v>27</v>
      </c>
      <c r="E7" s="4">
        <v>220</v>
      </c>
      <c r="F7" s="4">
        <v>0</v>
      </c>
      <c r="G7" s="4">
        <f t="shared" si="0"/>
        <v>0</v>
      </c>
      <c r="H7" s="4">
        <v>0</v>
      </c>
      <c r="I7" s="4">
        <v>0</v>
      </c>
    </row>
    <row r="8" spans="1:10" x14ac:dyDescent="0.35">
      <c r="A8" s="8">
        <v>7</v>
      </c>
      <c r="B8" s="8" t="s">
        <v>28</v>
      </c>
      <c r="C8" s="8" t="s">
        <v>29</v>
      </c>
      <c r="D8" s="8" t="s">
        <v>17</v>
      </c>
      <c r="E8" s="8">
        <v>380</v>
      </c>
      <c r="F8" s="8">
        <v>1260</v>
      </c>
      <c r="G8" s="8">
        <f t="shared" si="0"/>
        <v>7.1930125021407774</v>
      </c>
      <c r="H8" s="8">
        <f>15.46/3</f>
        <v>5.1533333333333333</v>
      </c>
      <c r="I8" s="8">
        <f>5.15/3</f>
        <v>1.7166666666666668</v>
      </c>
    </row>
    <row r="9" spans="1:10" x14ac:dyDescent="0.35">
      <c r="A9" s="4">
        <v>8</v>
      </c>
      <c r="B9" s="4" t="s">
        <v>30</v>
      </c>
      <c r="C9" s="4" t="s">
        <v>25</v>
      </c>
      <c r="D9" s="4" t="s">
        <v>17</v>
      </c>
      <c r="E9" s="4">
        <v>380</v>
      </c>
      <c r="F9" s="4">
        <v>297</v>
      </c>
      <c r="G9" s="4">
        <f t="shared" si="0"/>
        <v>1.6954958040760404</v>
      </c>
      <c r="H9" s="4">
        <f>7.093/11</f>
        <v>0.64481818181818185</v>
      </c>
      <c r="I9" s="4">
        <f>9.825/11</f>
        <v>0.89318181818181808</v>
      </c>
    </row>
    <row r="10" spans="1:10" x14ac:dyDescent="0.35">
      <c r="A10" s="10">
        <v>9</v>
      </c>
      <c r="B10" s="10" t="s">
        <v>31</v>
      </c>
      <c r="C10" s="10" t="s">
        <v>32</v>
      </c>
      <c r="D10" s="10" t="s">
        <v>27</v>
      </c>
      <c r="E10" s="10">
        <v>380</v>
      </c>
      <c r="F10" s="10">
        <v>0</v>
      </c>
      <c r="G10" s="10">
        <f>F10/SUM($F$2:$F$44)*100</f>
        <v>0</v>
      </c>
      <c r="H10" s="10">
        <v>0</v>
      </c>
      <c r="I10" s="10">
        <v>0</v>
      </c>
    </row>
    <row r="11" spans="1:10" x14ac:dyDescent="0.35">
      <c r="A11" s="7">
        <v>10</v>
      </c>
      <c r="B11" s="7" t="s">
        <v>33</v>
      </c>
      <c r="C11" s="7" t="s">
        <v>16</v>
      </c>
      <c r="D11" s="7" t="s">
        <v>17</v>
      </c>
      <c r="E11" s="7">
        <v>380</v>
      </c>
      <c r="F11" s="7">
        <v>492</v>
      </c>
      <c r="G11" s="7">
        <f>F11/SUM($F$2:$F$46)*100</f>
        <v>2.8087001198835417</v>
      </c>
      <c r="H11" s="7">
        <f>3.455/2</f>
        <v>1.7275</v>
      </c>
      <c r="I11" s="7">
        <f>11.599/2</f>
        <v>5.7995000000000001</v>
      </c>
    </row>
    <row r="12" spans="1:10" x14ac:dyDescent="0.35">
      <c r="A12" s="4">
        <v>11</v>
      </c>
      <c r="B12" s="4" t="s">
        <v>34</v>
      </c>
      <c r="C12" s="4" t="s">
        <v>25</v>
      </c>
      <c r="D12" s="4" t="s">
        <v>27</v>
      </c>
      <c r="E12" s="4">
        <v>380</v>
      </c>
      <c r="F12" s="4">
        <v>0</v>
      </c>
      <c r="G12" s="4">
        <f>F12/SUM($F$2:$F$46)*100</f>
        <v>0</v>
      </c>
      <c r="H12" s="4">
        <v>0</v>
      </c>
      <c r="I12" s="4">
        <v>0</v>
      </c>
    </row>
    <row r="13" spans="1:10" x14ac:dyDescent="0.35">
      <c r="A13" s="3">
        <v>12</v>
      </c>
      <c r="B13" s="3" t="s">
        <v>35</v>
      </c>
      <c r="C13" s="3" t="s">
        <v>36</v>
      </c>
      <c r="D13" s="3" t="s">
        <v>27</v>
      </c>
      <c r="E13" s="3">
        <v>380</v>
      </c>
      <c r="F13" s="3">
        <v>0</v>
      </c>
      <c r="G13" s="3">
        <f>F13/SUM($F$2:$F$44)*100</f>
        <v>0</v>
      </c>
      <c r="H13" s="3">
        <v>0</v>
      </c>
      <c r="I13" s="3">
        <v>0</v>
      </c>
    </row>
    <row r="14" spans="1:10" x14ac:dyDescent="0.35">
      <c r="A14" s="10">
        <v>13</v>
      </c>
      <c r="B14" s="10" t="s">
        <v>37</v>
      </c>
      <c r="C14" s="10" t="s">
        <v>32</v>
      </c>
      <c r="D14" s="10" t="s">
        <v>17</v>
      </c>
      <c r="E14" s="10">
        <v>380</v>
      </c>
      <c r="F14" s="10">
        <v>155</v>
      </c>
      <c r="G14" s="10">
        <f t="shared" ref="G14:G46" si="1">F14/SUM($F$2:$F$46)*100</f>
        <v>0.88485471256493697</v>
      </c>
      <c r="H14" s="10">
        <f>17.37/4</f>
        <v>4.3425000000000002</v>
      </c>
      <c r="I14" s="10">
        <f>18.252/4</f>
        <v>4.5629999999999997</v>
      </c>
    </row>
    <row r="15" spans="1:10" x14ac:dyDescent="0.35">
      <c r="A15" s="10">
        <v>14</v>
      </c>
      <c r="B15" s="10" t="s">
        <v>38</v>
      </c>
      <c r="C15" s="10" t="s">
        <v>32</v>
      </c>
      <c r="D15" s="10" t="s">
        <v>17</v>
      </c>
      <c r="E15" s="10">
        <v>380</v>
      </c>
      <c r="F15" s="10">
        <v>465</v>
      </c>
      <c r="G15" s="10">
        <f t="shared" si="1"/>
        <v>2.6545641376948108</v>
      </c>
      <c r="H15" s="10">
        <f>17.37/4</f>
        <v>4.3425000000000002</v>
      </c>
      <c r="I15" s="10">
        <f>18.252/4</f>
        <v>4.5629999999999997</v>
      </c>
    </row>
    <row r="16" spans="1:10" x14ac:dyDescent="0.35">
      <c r="A16" s="9">
        <v>15</v>
      </c>
      <c r="B16" s="9" t="s">
        <v>39</v>
      </c>
      <c r="C16" s="9" t="s">
        <v>18</v>
      </c>
      <c r="D16" s="9" t="s">
        <v>27</v>
      </c>
      <c r="E16" s="9">
        <v>380</v>
      </c>
      <c r="F16" s="9">
        <v>0</v>
      </c>
      <c r="G16" s="9">
        <f t="shared" si="1"/>
        <v>0</v>
      </c>
      <c r="H16" s="9">
        <v>0</v>
      </c>
      <c r="I16" s="9">
        <v>0</v>
      </c>
    </row>
    <row r="17" spans="1:9" x14ac:dyDescent="0.35">
      <c r="A17" s="3">
        <v>16</v>
      </c>
      <c r="B17" s="3" t="s">
        <v>40</v>
      </c>
      <c r="C17" s="3" t="s">
        <v>36</v>
      </c>
      <c r="D17" s="3" t="s">
        <v>17</v>
      </c>
      <c r="E17" s="3">
        <v>380</v>
      </c>
      <c r="F17" s="3">
        <v>930</v>
      </c>
      <c r="G17" s="3">
        <f t="shared" si="1"/>
        <v>5.3091282753896216</v>
      </c>
      <c r="H17" s="3">
        <f>7.625/2</f>
        <v>3.8125</v>
      </c>
      <c r="I17" s="3">
        <f>17.785/2</f>
        <v>8.8925000000000001</v>
      </c>
    </row>
    <row r="18" spans="1:9" x14ac:dyDescent="0.35">
      <c r="A18" s="4">
        <v>17</v>
      </c>
      <c r="B18" s="4" t="s">
        <v>41</v>
      </c>
      <c r="C18" s="4" t="s">
        <v>25</v>
      </c>
      <c r="D18" s="4" t="s">
        <v>17</v>
      </c>
      <c r="E18" s="4">
        <v>380</v>
      </c>
      <c r="F18" s="4">
        <v>600</v>
      </c>
      <c r="G18" s="4">
        <f t="shared" si="1"/>
        <v>3.4252440486384659</v>
      </c>
      <c r="H18" s="4">
        <f>7.093/11</f>
        <v>0.64481818181818185</v>
      </c>
      <c r="I18" s="4">
        <f>9.825/11</f>
        <v>0.89318181818181808</v>
      </c>
    </row>
    <row r="19" spans="1:9" x14ac:dyDescent="0.35">
      <c r="A19" s="10">
        <v>18</v>
      </c>
      <c r="B19" s="10" t="s">
        <v>42</v>
      </c>
      <c r="C19" s="10" t="s">
        <v>32</v>
      </c>
      <c r="D19" s="10" t="s">
        <v>27</v>
      </c>
      <c r="E19" s="10">
        <v>380</v>
      </c>
      <c r="F19" s="10">
        <v>0</v>
      </c>
      <c r="G19" s="10">
        <f t="shared" si="1"/>
        <v>0</v>
      </c>
      <c r="H19" s="10">
        <v>0</v>
      </c>
      <c r="I19" s="10">
        <v>0</v>
      </c>
    </row>
    <row r="20" spans="1:9" x14ac:dyDescent="0.35">
      <c r="A20" s="9">
        <v>19</v>
      </c>
      <c r="B20" s="9" t="s">
        <v>43</v>
      </c>
      <c r="C20" s="9" t="s">
        <v>18</v>
      </c>
      <c r="D20" s="9" t="s">
        <v>17</v>
      </c>
      <c r="E20" s="9">
        <v>380</v>
      </c>
      <c r="F20" s="9">
        <v>980</v>
      </c>
      <c r="G20" s="9">
        <f t="shared" si="1"/>
        <v>5.5945652794428273</v>
      </c>
      <c r="H20" s="9">
        <f>16.02/2</f>
        <v>8.01</v>
      </c>
      <c r="I20" s="9">
        <f>8.741/2</f>
        <v>4.3704999999999998</v>
      </c>
    </row>
    <row r="21" spans="1:9" x14ac:dyDescent="0.35">
      <c r="A21" s="4">
        <v>20</v>
      </c>
      <c r="B21" s="4" t="s">
        <v>44</v>
      </c>
      <c r="C21" s="4" t="s">
        <v>25</v>
      </c>
      <c r="D21" s="4" t="s">
        <v>17</v>
      </c>
      <c r="E21" s="4">
        <v>220</v>
      </c>
      <c r="F21" s="4">
        <v>860</v>
      </c>
      <c r="G21" s="4">
        <f t="shared" si="1"/>
        <v>4.9095164697151343</v>
      </c>
      <c r="H21" s="4">
        <f>7.093/11</f>
        <v>0.64481818181818185</v>
      </c>
      <c r="I21" s="4">
        <f>9.825/11</f>
        <v>0.89318181818181808</v>
      </c>
    </row>
    <row r="22" spans="1:9" x14ac:dyDescent="0.35">
      <c r="A22" s="2">
        <v>21</v>
      </c>
      <c r="B22" s="2" t="s">
        <v>45</v>
      </c>
      <c r="C22" s="2" t="s">
        <v>46</v>
      </c>
      <c r="D22" s="2" t="s">
        <v>17</v>
      </c>
      <c r="E22" s="2">
        <v>380</v>
      </c>
      <c r="F22" s="2">
        <v>930</v>
      </c>
      <c r="G22" s="2">
        <f t="shared" si="1"/>
        <v>5.3091282753896216</v>
      </c>
      <c r="H22" s="2">
        <f>17.26/4</f>
        <v>4.3150000000000004</v>
      </c>
      <c r="I22" s="2">
        <f>14.835/4</f>
        <v>3.7087500000000002</v>
      </c>
    </row>
    <row r="23" spans="1:9" x14ac:dyDescent="0.35">
      <c r="A23" s="4">
        <v>22</v>
      </c>
      <c r="B23" s="4" t="s">
        <v>47</v>
      </c>
      <c r="C23" s="4" t="s">
        <v>25</v>
      </c>
      <c r="D23" s="4" t="s">
        <v>17</v>
      </c>
      <c r="E23" s="4">
        <v>220</v>
      </c>
      <c r="F23" s="4">
        <v>350</v>
      </c>
      <c r="G23" s="4">
        <f t="shared" si="1"/>
        <v>1.9980590283724384</v>
      </c>
      <c r="H23" s="4">
        <f>7.093/11</f>
        <v>0.64481818181818185</v>
      </c>
      <c r="I23" s="4">
        <f>9.825/11</f>
        <v>0.89318181818181808</v>
      </c>
    </row>
    <row r="24" spans="1:9" x14ac:dyDescent="0.35">
      <c r="A24" s="4">
        <v>23</v>
      </c>
      <c r="B24" s="4" t="s">
        <v>48</v>
      </c>
      <c r="C24" s="4" t="s">
        <v>25</v>
      </c>
      <c r="D24" s="4" t="s">
        <v>17</v>
      </c>
      <c r="E24" s="4">
        <v>380</v>
      </c>
      <c r="F24" s="4">
        <v>30</v>
      </c>
      <c r="G24" s="4">
        <f t="shared" si="1"/>
        <v>0.17126220243192328</v>
      </c>
      <c r="H24" s="4">
        <f>7.093/11</f>
        <v>0.64481818181818185</v>
      </c>
      <c r="I24" s="4">
        <f>9.825/11</f>
        <v>0.89318181818181808</v>
      </c>
    </row>
    <row r="25" spans="1:9" x14ac:dyDescent="0.35">
      <c r="A25" s="9">
        <v>24</v>
      </c>
      <c r="B25" s="9" t="s">
        <v>49</v>
      </c>
      <c r="C25" s="9" t="s">
        <v>18</v>
      </c>
      <c r="D25" s="9" t="s">
        <v>27</v>
      </c>
      <c r="E25" s="9">
        <v>380</v>
      </c>
      <c r="F25" s="9">
        <v>0</v>
      </c>
      <c r="G25" s="9">
        <f t="shared" si="1"/>
        <v>0</v>
      </c>
      <c r="H25" s="9">
        <v>0</v>
      </c>
      <c r="I25" s="9">
        <v>0</v>
      </c>
    </row>
    <row r="26" spans="1:9" x14ac:dyDescent="0.35">
      <c r="A26" s="6">
        <v>25</v>
      </c>
      <c r="B26" s="6" t="s">
        <v>50</v>
      </c>
      <c r="C26" s="6" t="s">
        <v>21</v>
      </c>
      <c r="D26" s="6" t="s">
        <v>17</v>
      </c>
      <c r="E26" s="6">
        <v>220</v>
      </c>
      <c r="F26" s="6">
        <v>105</v>
      </c>
      <c r="G26" s="6">
        <f t="shared" si="1"/>
        <v>0.59941770851173148</v>
      </c>
      <c r="H26" s="6">
        <f>2.192/4</f>
        <v>0.54800000000000004</v>
      </c>
      <c r="I26" s="6">
        <f>3.459/4</f>
        <v>0.86475000000000002</v>
      </c>
    </row>
    <row r="27" spans="1:9" x14ac:dyDescent="0.35">
      <c r="A27" s="2">
        <v>26</v>
      </c>
      <c r="B27" s="2" t="s">
        <v>51</v>
      </c>
      <c r="C27" s="2" t="s">
        <v>46</v>
      </c>
      <c r="D27" s="2" t="s">
        <v>17</v>
      </c>
      <c r="E27" s="2">
        <v>380</v>
      </c>
      <c r="F27" s="2">
        <v>465</v>
      </c>
      <c r="G27" s="2">
        <f t="shared" si="1"/>
        <v>2.6545641376948108</v>
      </c>
      <c r="H27" s="2">
        <f>17.26/4</f>
        <v>4.3150000000000004</v>
      </c>
      <c r="I27" s="2">
        <f>14.835/4</f>
        <v>3.7087500000000002</v>
      </c>
    </row>
    <row r="28" spans="1:9" x14ac:dyDescent="0.35">
      <c r="A28" s="2">
        <v>27</v>
      </c>
      <c r="B28" s="2" t="s">
        <v>52</v>
      </c>
      <c r="C28" s="2" t="s">
        <v>46</v>
      </c>
      <c r="D28" s="2" t="s">
        <v>17</v>
      </c>
      <c r="E28" s="2">
        <v>380</v>
      </c>
      <c r="F28" s="2">
        <v>1138</v>
      </c>
      <c r="G28" s="2">
        <f t="shared" si="1"/>
        <v>6.4965462122509559</v>
      </c>
      <c r="H28" s="2">
        <f>17.26/4</f>
        <v>4.3150000000000004</v>
      </c>
      <c r="I28" s="2">
        <f>14.835/4</f>
        <v>3.7087500000000002</v>
      </c>
    </row>
    <row r="29" spans="1:9" x14ac:dyDescent="0.35">
      <c r="A29" s="8">
        <v>28</v>
      </c>
      <c r="B29" s="8" t="s">
        <v>53</v>
      </c>
      <c r="C29" s="8" t="s">
        <v>29</v>
      </c>
      <c r="D29" s="8" t="s">
        <v>17</v>
      </c>
      <c r="E29" s="8">
        <v>380</v>
      </c>
      <c r="F29" s="8">
        <v>515</v>
      </c>
      <c r="G29" s="8">
        <f t="shared" si="1"/>
        <v>2.9400011417480161</v>
      </c>
      <c r="H29" s="8">
        <f>15.46/3</f>
        <v>5.1533333333333333</v>
      </c>
      <c r="I29" s="8">
        <f>5.15/3</f>
        <v>1.7166666666666668</v>
      </c>
    </row>
    <row r="30" spans="1:9" x14ac:dyDescent="0.35">
      <c r="A30" s="10">
        <v>29</v>
      </c>
      <c r="B30" s="10" t="s">
        <v>5</v>
      </c>
      <c r="C30" s="10" t="s">
        <v>32</v>
      </c>
      <c r="D30" s="10" t="s">
        <v>17</v>
      </c>
      <c r="E30" s="10">
        <v>380</v>
      </c>
      <c r="F30" s="10">
        <v>1170</v>
      </c>
      <c r="G30" s="10">
        <f t="shared" si="1"/>
        <v>6.6792258948450076</v>
      </c>
      <c r="H30" s="10">
        <f>17.37/4</f>
        <v>4.3425000000000002</v>
      </c>
      <c r="I30" s="10">
        <f>18.252/4</f>
        <v>4.5629999999999997</v>
      </c>
    </row>
    <row r="31" spans="1:9" x14ac:dyDescent="0.35">
      <c r="A31" s="9">
        <v>30</v>
      </c>
      <c r="B31" s="9" t="s">
        <v>54</v>
      </c>
      <c r="C31" s="9" t="s">
        <v>18</v>
      </c>
      <c r="D31" s="9" t="s">
        <v>27</v>
      </c>
      <c r="E31" s="9">
        <v>380</v>
      </c>
      <c r="F31" s="9">
        <v>0</v>
      </c>
      <c r="G31" s="9">
        <f t="shared" si="1"/>
        <v>0</v>
      </c>
      <c r="H31" s="9">
        <v>0</v>
      </c>
      <c r="I31" s="9">
        <v>0</v>
      </c>
    </row>
    <row r="32" spans="1:9" x14ac:dyDescent="0.35">
      <c r="A32" s="4">
        <v>31</v>
      </c>
      <c r="B32" s="4" t="s">
        <v>55</v>
      </c>
      <c r="C32" s="4" t="s">
        <v>25</v>
      </c>
      <c r="D32" s="4" t="s">
        <v>17</v>
      </c>
      <c r="E32" s="4">
        <v>220</v>
      </c>
      <c r="F32" s="4">
        <v>160</v>
      </c>
      <c r="G32" s="4">
        <f t="shared" si="1"/>
        <v>0.91339841297025748</v>
      </c>
      <c r="H32" s="4">
        <f>7.093/11</f>
        <v>0.64481818181818185</v>
      </c>
      <c r="I32" s="4">
        <f>9.825/11</f>
        <v>0.89318181818181808</v>
      </c>
    </row>
    <row r="33" spans="1:9" x14ac:dyDescent="0.35">
      <c r="A33" s="4">
        <v>32</v>
      </c>
      <c r="B33" s="4" t="s">
        <v>56</v>
      </c>
      <c r="C33" s="4" t="s">
        <v>25</v>
      </c>
      <c r="D33" s="4" t="s">
        <v>17</v>
      </c>
      <c r="E33" s="4">
        <v>380</v>
      </c>
      <c r="F33" s="4">
        <v>80</v>
      </c>
      <c r="G33" s="4">
        <f t="shared" si="1"/>
        <v>0.45669920648512874</v>
      </c>
      <c r="H33" s="4">
        <f>7.093/11</f>
        <v>0.64481818181818185</v>
      </c>
      <c r="I33" s="4">
        <f>9.825/11</f>
        <v>0.89318181818181808</v>
      </c>
    </row>
    <row r="34" spans="1:9" x14ac:dyDescent="0.35">
      <c r="A34" s="10">
        <v>33</v>
      </c>
      <c r="B34" s="10" t="s">
        <v>57</v>
      </c>
      <c r="C34" s="10" t="s">
        <v>32</v>
      </c>
      <c r="D34" s="10" t="s">
        <v>17</v>
      </c>
      <c r="E34" s="10">
        <v>380</v>
      </c>
      <c r="F34" s="10">
        <v>465</v>
      </c>
      <c r="G34" s="10">
        <f t="shared" si="1"/>
        <v>2.6545641376948108</v>
      </c>
      <c r="H34" s="10">
        <f>17.37/4</f>
        <v>4.3425000000000002</v>
      </c>
      <c r="I34" s="10">
        <f>18.252/4</f>
        <v>4.5629999999999997</v>
      </c>
    </row>
    <row r="35" spans="1:9" x14ac:dyDescent="0.35">
      <c r="A35" s="4">
        <v>34</v>
      </c>
      <c r="B35" s="4" t="s">
        <v>58</v>
      </c>
      <c r="C35" s="4" t="s">
        <v>25</v>
      </c>
      <c r="D35" s="4" t="s">
        <v>17</v>
      </c>
      <c r="E35" s="4">
        <v>220</v>
      </c>
      <c r="F35" s="4">
        <v>120</v>
      </c>
      <c r="G35" s="4">
        <f t="shared" si="1"/>
        <v>0.68504880972769311</v>
      </c>
      <c r="H35" s="4">
        <f>7.093/11</f>
        <v>0.64481818181818185</v>
      </c>
      <c r="I35" s="4">
        <f>9.825/11</f>
        <v>0.89318181818181808</v>
      </c>
    </row>
    <row r="36" spans="1:9" x14ac:dyDescent="0.35">
      <c r="A36" s="6">
        <v>35</v>
      </c>
      <c r="B36" s="6" t="s">
        <v>59</v>
      </c>
      <c r="C36" s="6" t="s">
        <v>21</v>
      </c>
      <c r="D36" s="6" t="s">
        <v>17</v>
      </c>
      <c r="E36" s="6">
        <v>220</v>
      </c>
      <c r="F36" s="6">
        <v>0</v>
      </c>
      <c r="G36" s="6">
        <f t="shared" si="1"/>
        <v>0</v>
      </c>
      <c r="H36" s="6">
        <f>2.192/4</f>
        <v>0.54800000000000004</v>
      </c>
      <c r="I36" s="6">
        <f>3.459/4</f>
        <v>0.86475000000000002</v>
      </c>
    </row>
    <row r="37" spans="1:9" x14ac:dyDescent="0.35">
      <c r="A37" s="4">
        <v>36</v>
      </c>
      <c r="B37" s="4" t="s">
        <v>60</v>
      </c>
      <c r="C37" s="4" t="s">
        <v>25</v>
      </c>
      <c r="D37" s="4" t="s">
        <v>17</v>
      </c>
      <c r="E37" s="4">
        <v>220</v>
      </c>
      <c r="F37" s="4">
        <v>280</v>
      </c>
      <c r="G37" s="4">
        <f t="shared" si="1"/>
        <v>1.5984472226979505</v>
      </c>
      <c r="H37" s="4">
        <f>7.093/11</f>
        <v>0.64481818181818185</v>
      </c>
      <c r="I37" s="4">
        <f>9.825/11</f>
        <v>0.89318181818181808</v>
      </c>
    </row>
    <row r="38" spans="1:9" x14ac:dyDescent="0.35">
      <c r="A38" s="9">
        <v>37</v>
      </c>
      <c r="B38" s="9" t="s">
        <v>61</v>
      </c>
      <c r="C38" s="9" t="s">
        <v>18</v>
      </c>
      <c r="D38" s="9" t="s">
        <v>27</v>
      </c>
      <c r="E38" s="9">
        <v>380</v>
      </c>
      <c r="F38" s="9">
        <v>0</v>
      </c>
      <c r="G38" s="9">
        <f t="shared" si="1"/>
        <v>0</v>
      </c>
      <c r="H38" s="9">
        <v>0</v>
      </c>
      <c r="I38" s="9">
        <v>0</v>
      </c>
    </row>
    <row r="39" spans="1:9" x14ac:dyDescent="0.35">
      <c r="A39" s="3">
        <v>38</v>
      </c>
      <c r="B39" s="3" t="s">
        <v>62</v>
      </c>
      <c r="C39" s="3" t="s">
        <v>36</v>
      </c>
      <c r="D39" s="3" t="s">
        <v>17</v>
      </c>
      <c r="E39" s="3">
        <v>380</v>
      </c>
      <c r="F39" s="3">
        <v>645</v>
      </c>
      <c r="G39" s="3">
        <f t="shared" si="1"/>
        <v>3.6821373522863508</v>
      </c>
      <c r="H39" s="3">
        <f>7.625/2</f>
        <v>3.8125</v>
      </c>
      <c r="I39" s="3">
        <f>17.785/2</f>
        <v>8.8925000000000001</v>
      </c>
    </row>
    <row r="40" spans="1:9" x14ac:dyDescent="0.35">
      <c r="A40" s="9">
        <v>39</v>
      </c>
      <c r="B40" s="9" t="s">
        <v>63</v>
      </c>
      <c r="C40" s="9" t="s">
        <v>18</v>
      </c>
      <c r="D40" s="9" t="s">
        <v>27</v>
      </c>
      <c r="E40" s="9">
        <v>380</v>
      </c>
      <c r="F40" s="9">
        <v>0</v>
      </c>
      <c r="G40" s="9">
        <f t="shared" si="1"/>
        <v>0</v>
      </c>
      <c r="H40" s="9">
        <v>0</v>
      </c>
      <c r="I40" s="9">
        <v>0</v>
      </c>
    </row>
    <row r="41" spans="1:9" x14ac:dyDescent="0.35">
      <c r="A41" s="4">
        <v>40</v>
      </c>
      <c r="B41" s="4" t="s">
        <v>64</v>
      </c>
      <c r="C41" s="4" t="s">
        <v>25</v>
      </c>
      <c r="D41" s="4" t="s">
        <v>17</v>
      </c>
      <c r="E41" s="4">
        <v>380</v>
      </c>
      <c r="F41" s="4">
        <v>570</v>
      </c>
      <c r="G41" s="4">
        <f t="shared" si="1"/>
        <v>3.2539818462065417</v>
      </c>
      <c r="H41" s="4">
        <f>7.093/11</f>
        <v>0.64481818181818185</v>
      </c>
      <c r="I41" s="4">
        <f>9.825/11</f>
        <v>0.89318181818181808</v>
      </c>
    </row>
    <row r="42" spans="1:9" x14ac:dyDescent="0.35">
      <c r="A42" s="5">
        <v>41</v>
      </c>
      <c r="B42" s="5" t="s">
        <v>65</v>
      </c>
      <c r="C42" s="5" t="s">
        <v>66</v>
      </c>
      <c r="D42" s="5" t="s">
        <v>27</v>
      </c>
      <c r="E42" s="5">
        <v>380</v>
      </c>
      <c r="F42" s="5">
        <v>0</v>
      </c>
      <c r="G42" s="5">
        <f t="shared" si="1"/>
        <v>0</v>
      </c>
      <c r="H42" s="5">
        <v>0</v>
      </c>
      <c r="I42" s="5">
        <v>0</v>
      </c>
    </row>
    <row r="43" spans="1:9" x14ac:dyDescent="0.35">
      <c r="A43" s="8">
        <v>42</v>
      </c>
      <c r="B43" s="8" t="s">
        <v>67</v>
      </c>
      <c r="C43" s="8" t="s">
        <v>29</v>
      </c>
      <c r="D43" s="8" t="s">
        <v>17</v>
      </c>
      <c r="E43" s="8">
        <v>380</v>
      </c>
      <c r="F43" s="8">
        <v>1035</v>
      </c>
      <c r="G43" s="8">
        <f t="shared" si="1"/>
        <v>5.9085459839013534</v>
      </c>
      <c r="H43" s="8">
        <f>15.46/3</f>
        <v>5.1533333333333333</v>
      </c>
      <c r="I43" s="8">
        <f>5.15/3</f>
        <v>1.7166666666666668</v>
      </c>
    </row>
    <row r="44" spans="1:9" x14ac:dyDescent="0.35">
      <c r="A44" s="6">
        <v>43</v>
      </c>
      <c r="B44" s="6" t="s">
        <v>68</v>
      </c>
      <c r="C44" s="6" t="s">
        <v>21</v>
      </c>
      <c r="D44" s="6" t="s">
        <v>17</v>
      </c>
      <c r="E44" s="6">
        <v>220</v>
      </c>
      <c r="F44" s="6">
        <v>200</v>
      </c>
      <c r="G44" s="6">
        <f t="shared" si="1"/>
        <v>1.1417480162128217</v>
      </c>
      <c r="H44" s="6">
        <f>2.192/4</f>
        <v>0.54800000000000004</v>
      </c>
      <c r="I44" s="6">
        <f>3.459/4</f>
        <v>0.86475000000000002</v>
      </c>
    </row>
    <row r="45" spans="1:9" x14ac:dyDescent="0.35">
      <c r="A45" s="2">
        <v>44</v>
      </c>
      <c r="B45" s="2" t="s">
        <v>69</v>
      </c>
      <c r="C45" s="2" t="s">
        <v>46</v>
      </c>
      <c r="D45" s="2" t="s">
        <v>17</v>
      </c>
      <c r="E45" s="2">
        <v>380</v>
      </c>
      <c r="F45" s="2">
        <v>1085</v>
      </c>
      <c r="G45" s="2">
        <f t="shared" si="1"/>
        <v>6.1939829879545583</v>
      </c>
      <c r="H45" s="2">
        <f>17.26/4</f>
        <v>4.3150000000000004</v>
      </c>
      <c r="I45" s="2">
        <f>14.835/4</f>
        <v>3.7087500000000002</v>
      </c>
    </row>
    <row r="46" spans="1:9" x14ac:dyDescent="0.35">
      <c r="A46" s="5">
        <v>45</v>
      </c>
      <c r="B46" s="5" t="s">
        <v>70</v>
      </c>
      <c r="C46" s="5" t="s">
        <v>66</v>
      </c>
      <c r="D46" s="5" t="s">
        <v>17</v>
      </c>
      <c r="E46" s="5">
        <v>380</v>
      </c>
      <c r="F46" s="5">
        <v>0</v>
      </c>
      <c r="G46" s="5">
        <f t="shared" si="1"/>
        <v>0</v>
      </c>
      <c r="H46" s="5">
        <v>13.52</v>
      </c>
      <c r="I46" s="5">
        <v>10.35</v>
      </c>
    </row>
  </sheetData>
  <autoFilter ref="A1:I46" xr:uid="{00000000-0009-0000-0000-000001000000}">
    <sortState xmlns:xlrd2="http://schemas.microsoft.com/office/spreadsheetml/2017/richdata2" ref="A2:I46">
      <sortCondition ref="A1:A4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66"/>
  <sheetViews>
    <sheetView zoomScaleNormal="110" workbookViewId="0">
      <pane ySplit="1" topLeftCell="A21" activePane="bottomLeft" state="frozen"/>
      <selection pane="bottomLeft" activeCell="P48" sqref="P48"/>
    </sheetView>
  </sheetViews>
  <sheetFormatPr baseColWidth="10" defaultColWidth="8.7265625" defaultRowHeight="14.5" x14ac:dyDescent="0.35"/>
  <cols>
    <col min="1" max="1" width="8.7265625" style="20"/>
    <col min="2" max="3" width="16.90625" style="20" customWidth="1"/>
    <col min="4" max="4" width="17.6328125" customWidth="1"/>
    <col min="5" max="5" width="16.90625" customWidth="1"/>
    <col min="6" max="6" width="13.08984375" customWidth="1"/>
    <col min="7" max="7" width="17.7265625" customWidth="1"/>
    <col min="8" max="8" width="11.7265625" customWidth="1"/>
    <col min="16" max="16" width="15.453125" customWidth="1"/>
    <col min="17" max="17" width="14.6328125" customWidth="1"/>
    <col min="18" max="18" width="20.1796875" customWidth="1"/>
  </cols>
  <sheetData>
    <row r="1" spans="1:18" x14ac:dyDescent="0.35">
      <c r="A1" s="17" t="s">
        <v>71</v>
      </c>
      <c r="B1" s="17" t="s">
        <v>72</v>
      </c>
      <c r="C1" s="17" t="s">
        <v>73</v>
      </c>
      <c r="D1" s="17" t="s">
        <v>74</v>
      </c>
      <c r="E1" s="17" t="s">
        <v>75</v>
      </c>
      <c r="F1" s="17" t="s">
        <v>10</v>
      </c>
      <c r="G1" s="17" t="s">
        <v>76</v>
      </c>
      <c r="H1" s="17" t="s">
        <v>77</v>
      </c>
      <c r="I1" s="17" t="s">
        <v>78</v>
      </c>
      <c r="J1" s="17" t="s">
        <v>79</v>
      </c>
      <c r="K1" s="17" t="s">
        <v>80</v>
      </c>
      <c r="L1" s="17" t="s">
        <v>147</v>
      </c>
      <c r="M1" s="17" t="s">
        <v>148</v>
      </c>
      <c r="N1" s="17" t="s">
        <v>149</v>
      </c>
      <c r="O1" s="17" t="s">
        <v>81</v>
      </c>
      <c r="P1" s="17" t="s">
        <v>82</v>
      </c>
      <c r="Q1" s="17" t="s">
        <v>83</v>
      </c>
      <c r="R1" s="17" t="s">
        <v>84</v>
      </c>
    </row>
    <row r="2" spans="1:18" s="10" customFormat="1" x14ac:dyDescent="0.35">
      <c r="A2" s="18">
        <v>1</v>
      </c>
      <c r="B2" s="18">
        <v>1</v>
      </c>
      <c r="C2" s="18">
        <v>17</v>
      </c>
      <c r="D2" s="10" t="s">
        <v>15</v>
      </c>
      <c r="E2" s="10" t="s">
        <v>41</v>
      </c>
      <c r="F2" s="10">
        <v>380</v>
      </c>
      <c r="G2" s="10">
        <v>36.9</v>
      </c>
      <c r="H2" s="10">
        <v>1999</v>
      </c>
      <c r="I2" s="10">
        <v>1.1399999999999999</v>
      </c>
      <c r="J2" s="10">
        <v>12.1</v>
      </c>
      <c r="K2" s="10">
        <v>8.2644628099173556E-2</v>
      </c>
      <c r="L2" s="10">
        <f>((F2*10^3)^2)/(100*10^6)</f>
        <v>1444</v>
      </c>
      <c r="M2" s="10">
        <f>K2*L2</f>
        <v>119.33884297520662</v>
      </c>
      <c r="N2" s="10">
        <f>J2/L2</f>
        <v>8.3795013850415517E-3</v>
      </c>
      <c r="O2" s="10">
        <v>141.47</v>
      </c>
      <c r="P2" s="10">
        <v>1315.7004344454699</v>
      </c>
      <c r="Q2" s="10">
        <v>50.267829470724003</v>
      </c>
      <c r="R2" s="10">
        <v>5.0456341096881596</v>
      </c>
    </row>
    <row r="3" spans="1:18" s="10" customFormat="1" x14ac:dyDescent="0.35">
      <c r="A3" s="18">
        <v>2</v>
      </c>
      <c r="B3" s="18">
        <v>3</v>
      </c>
      <c r="C3" s="18">
        <v>8</v>
      </c>
      <c r="D3" s="10" t="s">
        <v>22</v>
      </c>
      <c r="E3" s="10" t="s">
        <v>30</v>
      </c>
      <c r="F3" s="10">
        <v>380</v>
      </c>
      <c r="G3" s="10">
        <v>104.4</v>
      </c>
      <c r="H3" s="10">
        <v>2186</v>
      </c>
      <c r="I3" s="10">
        <v>3.55</v>
      </c>
      <c r="J3" s="10">
        <v>32.880000000000003</v>
      </c>
      <c r="K3" s="10">
        <v>3.0413625304136251E-2</v>
      </c>
      <c r="L3" s="10">
        <f t="shared" ref="L3:L66" si="0">((F3*10^3)^2)/(100*10^6)</f>
        <v>1444</v>
      </c>
      <c r="M3" s="10">
        <f>K3*L3</f>
        <v>43.917274939172749</v>
      </c>
      <c r="N3" s="10">
        <f t="shared" ref="N3:N66" si="1">J3/L3</f>
        <v>2.2770083102493077E-2</v>
      </c>
      <c r="O3" s="10">
        <v>379.36</v>
      </c>
      <c r="P3" s="10">
        <v>1438.7799648313151</v>
      </c>
      <c r="Q3" s="10">
        <v>49.563837674746701</v>
      </c>
      <c r="R3" s="10">
        <v>5.7992758711646104</v>
      </c>
    </row>
    <row r="4" spans="1:18" s="4" customFormat="1" x14ac:dyDescent="0.35">
      <c r="A4" s="19">
        <v>3</v>
      </c>
      <c r="B4" s="19">
        <v>4</v>
      </c>
      <c r="C4" s="19">
        <v>18</v>
      </c>
      <c r="D4" s="4" t="s">
        <v>23</v>
      </c>
      <c r="E4" s="4" t="s">
        <v>42</v>
      </c>
      <c r="F4" s="4">
        <v>380</v>
      </c>
      <c r="G4" s="4">
        <v>39.700000000000003</v>
      </c>
      <c r="H4" s="4">
        <v>4185</v>
      </c>
      <c r="I4" s="4">
        <v>0.62000761719859243</v>
      </c>
      <c r="J4" s="4">
        <v>6.5050007260050933</v>
      </c>
      <c r="K4" s="4">
        <v>0.15372799243766991</v>
      </c>
      <c r="L4" s="4">
        <f t="shared" si="0"/>
        <v>1444</v>
      </c>
      <c r="M4" s="4">
        <f>K4*L4</f>
        <v>221.98322107999536</v>
      </c>
      <c r="N4" s="4">
        <f t="shared" si="1"/>
        <v>4.504848148202973E-3</v>
      </c>
      <c r="O4" s="4">
        <v>299.85000000000002</v>
      </c>
      <c r="P4" s="4">
        <v>2754.4803992767852</v>
      </c>
      <c r="Q4" s="4">
        <v>50.774131414375503</v>
      </c>
      <c r="R4" s="4">
        <v>3.4453157895245101</v>
      </c>
    </row>
    <row r="5" spans="1:18" s="4" customFormat="1" x14ac:dyDescent="0.35">
      <c r="A5" s="19">
        <v>4</v>
      </c>
      <c r="B5" s="19">
        <v>4</v>
      </c>
      <c r="C5" s="19">
        <v>19</v>
      </c>
      <c r="D5" s="4" t="s">
        <v>23</v>
      </c>
      <c r="E5" s="4" t="s">
        <v>43</v>
      </c>
      <c r="F5" s="4">
        <v>380</v>
      </c>
      <c r="G5" s="4">
        <v>22.8</v>
      </c>
      <c r="H5" s="4">
        <v>4372</v>
      </c>
      <c r="I5" s="4">
        <v>0.35499999999999993</v>
      </c>
      <c r="J5" s="4">
        <v>3.74</v>
      </c>
      <c r="K5" s="4">
        <v>0.26737967914438499</v>
      </c>
      <c r="L5" s="4">
        <f t="shared" si="0"/>
        <v>1444</v>
      </c>
      <c r="M5" s="4">
        <f t="shared" ref="M5:M66" si="2">K5*L5</f>
        <v>386.09625668449189</v>
      </c>
      <c r="N5" s="4">
        <f t="shared" si="1"/>
        <v>2.5900277008310251E-3</v>
      </c>
      <c r="O5" s="4">
        <v>175.3</v>
      </c>
      <c r="P5" s="4">
        <v>2877.5599296626301</v>
      </c>
      <c r="Q5" s="4">
        <v>50.774131414375503</v>
      </c>
      <c r="R5" s="4">
        <v>3.4453157895245101</v>
      </c>
    </row>
    <row r="6" spans="1:18" s="10" customFormat="1" x14ac:dyDescent="0.35">
      <c r="A6" s="18">
        <v>5</v>
      </c>
      <c r="B6" s="18">
        <v>7</v>
      </c>
      <c r="C6" s="18">
        <v>28</v>
      </c>
      <c r="D6" s="10" t="s">
        <v>28</v>
      </c>
      <c r="E6" s="10" t="s">
        <v>53</v>
      </c>
      <c r="F6" s="10">
        <v>380</v>
      </c>
      <c r="G6" s="10">
        <v>14</v>
      </c>
      <c r="H6" s="10">
        <v>1999</v>
      </c>
      <c r="I6" s="10">
        <v>0.45</v>
      </c>
      <c r="J6" s="10">
        <v>4.63</v>
      </c>
      <c r="K6" s="10">
        <v>0.21598272138228941</v>
      </c>
      <c r="L6" s="10">
        <f t="shared" si="0"/>
        <v>1444</v>
      </c>
      <c r="M6" s="10">
        <f t="shared" si="2"/>
        <v>311.87904967602589</v>
      </c>
      <c r="N6" s="10">
        <f t="shared" si="1"/>
        <v>3.2063711911357339E-3</v>
      </c>
      <c r="O6" s="10">
        <v>54.18</v>
      </c>
      <c r="P6" s="10">
        <v>1315.7004344454699</v>
      </c>
      <c r="Q6" s="10">
        <v>50.838519262055897</v>
      </c>
      <c r="R6" s="10">
        <v>4.2624452683829599</v>
      </c>
    </row>
    <row r="7" spans="1:18" s="10" customFormat="1" x14ac:dyDescent="0.35">
      <c r="A7" s="18">
        <v>6</v>
      </c>
      <c r="B7" s="18">
        <v>7</v>
      </c>
      <c r="C7" s="18">
        <v>12</v>
      </c>
      <c r="D7" s="10" t="s">
        <v>28</v>
      </c>
      <c r="E7" s="10" t="s">
        <v>35</v>
      </c>
      <c r="F7" s="10">
        <v>380</v>
      </c>
      <c r="G7" s="10">
        <v>47.3</v>
      </c>
      <c r="H7" s="10">
        <v>2186</v>
      </c>
      <c r="I7" s="10">
        <v>1.47</v>
      </c>
      <c r="J7" s="10">
        <v>15.51</v>
      </c>
      <c r="K7" s="10">
        <v>6.4474532559638947E-2</v>
      </c>
      <c r="L7" s="10">
        <f t="shared" si="0"/>
        <v>1444</v>
      </c>
      <c r="M7" s="10">
        <f t="shared" si="2"/>
        <v>93.101225016118633</v>
      </c>
      <c r="N7" s="10">
        <f t="shared" si="1"/>
        <v>1.0740997229916897E-2</v>
      </c>
      <c r="O7" s="10">
        <v>182.6</v>
      </c>
      <c r="P7" s="10">
        <v>1438.7799648313151</v>
      </c>
      <c r="Q7" s="10">
        <v>50.838519262055897</v>
      </c>
      <c r="R7" s="10">
        <v>4.2624452683829599</v>
      </c>
    </row>
    <row r="8" spans="1:18" s="4" customFormat="1" x14ac:dyDescent="0.35">
      <c r="A8" s="19">
        <v>7</v>
      </c>
      <c r="B8" s="19">
        <v>7</v>
      </c>
      <c r="C8" s="19">
        <v>9</v>
      </c>
      <c r="D8" s="4" t="s">
        <v>28</v>
      </c>
      <c r="E8" s="4" t="s">
        <v>31</v>
      </c>
      <c r="F8" s="4">
        <v>380</v>
      </c>
      <c r="G8" s="4">
        <v>15.9</v>
      </c>
      <c r="H8" s="4">
        <v>4185</v>
      </c>
      <c r="I8" s="4">
        <v>0.27825397907365118</v>
      </c>
      <c r="J8" s="4">
        <v>2.5898997989161932</v>
      </c>
      <c r="K8" s="4">
        <v>0.3861709067188519</v>
      </c>
      <c r="L8" s="4">
        <f t="shared" si="0"/>
        <v>1444</v>
      </c>
      <c r="M8" s="4">
        <f t="shared" si="2"/>
        <v>557.63078930202209</v>
      </c>
      <c r="N8" s="4">
        <f t="shared" si="1"/>
        <v>1.7935594175319898E-3</v>
      </c>
      <c r="O8" s="4">
        <v>121.6</v>
      </c>
      <c r="P8" s="4">
        <v>2754.4803992767852</v>
      </c>
      <c r="Q8" s="4">
        <v>50.838519262055897</v>
      </c>
      <c r="R8" s="4">
        <v>4.2624452683829599</v>
      </c>
    </row>
    <row r="9" spans="1:18" s="4" customFormat="1" x14ac:dyDescent="0.35">
      <c r="A9" s="19">
        <v>8</v>
      </c>
      <c r="B9" s="19">
        <v>8</v>
      </c>
      <c r="C9" s="19">
        <v>17</v>
      </c>
      <c r="D9" s="4" t="s">
        <v>30</v>
      </c>
      <c r="E9" s="4" t="s">
        <v>41</v>
      </c>
      <c r="F9" s="4">
        <v>380</v>
      </c>
      <c r="G9" s="4">
        <v>44.3</v>
      </c>
      <c r="H9" s="4">
        <v>4321</v>
      </c>
      <c r="I9" s="4">
        <v>0.68500000000000016</v>
      </c>
      <c r="J9" s="4">
        <v>7.2650000000000006</v>
      </c>
      <c r="K9" s="4">
        <v>0.13764624913971091</v>
      </c>
      <c r="L9" s="4">
        <f t="shared" si="0"/>
        <v>1444</v>
      </c>
      <c r="M9" s="4">
        <f t="shared" si="2"/>
        <v>198.76118375774254</v>
      </c>
      <c r="N9" s="4">
        <f t="shared" si="1"/>
        <v>5.0311634349030476E-3</v>
      </c>
      <c r="O9" s="4">
        <v>334.38</v>
      </c>
      <c r="P9" s="4">
        <v>2843.9927850119452</v>
      </c>
      <c r="Q9" s="4">
        <v>50.376044555960704</v>
      </c>
      <c r="R9" s="4">
        <v>5.8535438040111396</v>
      </c>
    </row>
    <row r="10" spans="1:18" s="4" customFormat="1" x14ac:dyDescent="0.35">
      <c r="A10" s="19">
        <v>9</v>
      </c>
      <c r="B10" s="19">
        <v>8</v>
      </c>
      <c r="C10" s="19">
        <v>11</v>
      </c>
      <c r="D10" s="4" t="s">
        <v>30</v>
      </c>
      <c r="E10" s="4" t="s">
        <v>34</v>
      </c>
      <c r="F10" s="4">
        <v>380</v>
      </c>
      <c r="G10" s="4">
        <v>2</v>
      </c>
      <c r="H10" s="4">
        <v>3998</v>
      </c>
      <c r="I10" s="4">
        <v>0.03</v>
      </c>
      <c r="J10" s="4">
        <v>0.33</v>
      </c>
      <c r="K10" s="4">
        <v>3.0303030303030298</v>
      </c>
      <c r="L10" s="4">
        <f t="shared" si="0"/>
        <v>1444</v>
      </c>
      <c r="M10" s="4">
        <f t="shared" si="2"/>
        <v>4375.7575757575751</v>
      </c>
      <c r="N10" s="4">
        <f t="shared" si="1"/>
        <v>2.2853185595567868E-4</v>
      </c>
      <c r="O10" s="4">
        <v>15.44</v>
      </c>
      <c r="P10" s="4">
        <v>2631.4008688909412</v>
      </c>
      <c r="Q10" s="4">
        <v>50.376044555960704</v>
      </c>
      <c r="R10" s="4">
        <v>5.8535438040111396</v>
      </c>
    </row>
    <row r="11" spans="1:18" s="4" customFormat="1" x14ac:dyDescent="0.35">
      <c r="A11" s="19">
        <v>10</v>
      </c>
      <c r="B11" s="19">
        <v>9</v>
      </c>
      <c r="C11" s="19">
        <v>29</v>
      </c>
      <c r="D11" s="4" t="s">
        <v>31</v>
      </c>
      <c r="E11" s="4" t="s">
        <v>5</v>
      </c>
      <c r="F11" s="4">
        <v>380</v>
      </c>
      <c r="G11" s="4">
        <v>15.5</v>
      </c>
      <c r="H11" s="4">
        <v>4185</v>
      </c>
      <c r="I11" s="4">
        <v>0.26791680494553349</v>
      </c>
      <c r="J11" s="4">
        <v>2.5201856132233851</v>
      </c>
      <c r="K11" s="4">
        <v>0.3968503937007874</v>
      </c>
      <c r="L11" s="4">
        <f t="shared" si="0"/>
        <v>1444</v>
      </c>
      <c r="M11" s="4">
        <f t="shared" si="2"/>
        <v>573.05196850393702</v>
      </c>
      <c r="N11" s="4">
        <f t="shared" si="1"/>
        <v>1.7452808955840617E-3</v>
      </c>
      <c r="O11" s="4">
        <v>117.4</v>
      </c>
      <c r="P11" s="4">
        <v>2754.4803992767852</v>
      </c>
      <c r="Q11" s="4">
        <v>51.014664633791597</v>
      </c>
      <c r="R11" s="4">
        <v>4.2001229862848399</v>
      </c>
    </row>
    <row r="12" spans="1:18" s="4" customFormat="1" x14ac:dyDescent="0.35">
      <c r="A12" s="19">
        <v>11</v>
      </c>
      <c r="B12" s="19">
        <v>9</v>
      </c>
      <c r="C12" s="19">
        <v>42</v>
      </c>
      <c r="D12" s="4" t="s">
        <v>31</v>
      </c>
      <c r="E12" s="4" t="s">
        <v>67</v>
      </c>
      <c r="F12" s="4">
        <v>380</v>
      </c>
      <c r="G12" s="4">
        <v>21.7</v>
      </c>
      <c r="H12" s="4">
        <v>4505</v>
      </c>
      <c r="I12" s="4">
        <v>0.33249948894767528</v>
      </c>
      <c r="J12" s="4">
        <v>3.5067159173414399</v>
      </c>
      <c r="K12" s="4">
        <v>0.2851672384916828</v>
      </c>
      <c r="L12" s="4">
        <f t="shared" si="0"/>
        <v>1444</v>
      </c>
      <c r="M12" s="4">
        <f t="shared" si="2"/>
        <v>411.78149238198995</v>
      </c>
      <c r="N12" s="4">
        <f t="shared" si="1"/>
        <v>2.4284736269677564E-3</v>
      </c>
      <c r="O12" s="4">
        <v>166.92</v>
      </c>
      <c r="P12" s="4">
        <v>2965.0977774771609</v>
      </c>
      <c r="Q12" s="4">
        <v>51.014664633791597</v>
      </c>
      <c r="R12" s="4">
        <v>4.2001229862848399</v>
      </c>
    </row>
    <row r="13" spans="1:18" s="10" customFormat="1" x14ac:dyDescent="0.35">
      <c r="A13" s="18">
        <v>12</v>
      </c>
      <c r="B13" s="18">
        <v>10</v>
      </c>
      <c r="C13" s="18">
        <v>17</v>
      </c>
      <c r="D13" s="10" t="s">
        <v>33</v>
      </c>
      <c r="E13" s="10" t="s">
        <v>41</v>
      </c>
      <c r="F13" s="10">
        <v>380</v>
      </c>
      <c r="G13" s="10">
        <v>32.200000000000003</v>
      </c>
      <c r="H13" s="10">
        <v>2186</v>
      </c>
      <c r="I13" s="10">
        <v>1</v>
      </c>
      <c r="J13" s="10">
        <v>10.56</v>
      </c>
      <c r="K13" s="10">
        <v>9.4696969696969696E-2</v>
      </c>
      <c r="L13" s="10">
        <f t="shared" si="0"/>
        <v>1444</v>
      </c>
      <c r="M13" s="10">
        <f t="shared" si="2"/>
        <v>136.74242424242425</v>
      </c>
      <c r="N13" s="10">
        <f t="shared" si="1"/>
        <v>7.3130193905817176E-3</v>
      </c>
      <c r="O13" s="10">
        <v>124.25</v>
      </c>
      <c r="P13" s="10">
        <v>1438.7799648313151</v>
      </c>
      <c r="Q13" s="10">
        <v>50.496349395689002</v>
      </c>
      <c r="R13" s="10">
        <v>4.9037652825078197</v>
      </c>
    </row>
    <row r="14" spans="1:18" s="10" customFormat="1" x14ac:dyDescent="0.35">
      <c r="A14" s="18">
        <v>13</v>
      </c>
      <c r="B14" s="18">
        <v>10</v>
      </c>
      <c r="C14" s="18">
        <v>12</v>
      </c>
      <c r="D14" s="10" t="s">
        <v>33</v>
      </c>
      <c r="E14" s="10" t="s">
        <v>35</v>
      </c>
      <c r="F14" s="10">
        <v>380</v>
      </c>
      <c r="G14" s="10">
        <v>44.1</v>
      </c>
      <c r="H14" s="10">
        <v>2186</v>
      </c>
      <c r="I14" s="10">
        <v>1.37</v>
      </c>
      <c r="J14" s="10">
        <v>14.46</v>
      </c>
      <c r="K14" s="10">
        <v>6.9156293222683254E-2</v>
      </c>
      <c r="L14" s="10">
        <f t="shared" si="0"/>
        <v>1444</v>
      </c>
      <c r="M14" s="10">
        <f t="shared" si="2"/>
        <v>99.86168741355462</v>
      </c>
      <c r="N14" s="10">
        <f t="shared" si="1"/>
        <v>1.0013850415512466E-2</v>
      </c>
      <c r="O14" s="10">
        <v>170.24</v>
      </c>
      <c r="P14" s="10">
        <v>1438.7799648313151</v>
      </c>
      <c r="Q14" s="10">
        <v>50.496349395689002</v>
      </c>
      <c r="R14" s="10">
        <v>4.9037652825078197</v>
      </c>
    </row>
    <row r="15" spans="1:18" s="10" customFormat="1" x14ac:dyDescent="0.35">
      <c r="A15" s="18">
        <v>14</v>
      </c>
      <c r="B15" s="18">
        <v>12</v>
      </c>
      <c r="C15" s="18">
        <v>38</v>
      </c>
      <c r="D15" s="10" t="s">
        <v>35</v>
      </c>
      <c r="E15" s="10" t="s">
        <v>62</v>
      </c>
      <c r="F15" s="10">
        <v>380</v>
      </c>
      <c r="G15" s="10">
        <v>12.6</v>
      </c>
      <c r="H15" s="10">
        <v>1999</v>
      </c>
      <c r="I15" s="10">
        <v>0.39</v>
      </c>
      <c r="J15" s="10">
        <v>4.13</v>
      </c>
      <c r="K15" s="10">
        <v>0.24213075060532691</v>
      </c>
      <c r="L15" s="10">
        <f t="shared" si="0"/>
        <v>1444</v>
      </c>
      <c r="M15" s="10">
        <f t="shared" si="2"/>
        <v>349.63680387409204</v>
      </c>
      <c r="N15" s="10">
        <f t="shared" si="1"/>
        <v>2.8601108033240999E-3</v>
      </c>
      <c r="O15" s="10">
        <v>48.64</v>
      </c>
      <c r="P15" s="10">
        <v>1315.7004344454699</v>
      </c>
      <c r="Q15" s="10">
        <v>50.463139149417799</v>
      </c>
      <c r="R15" s="10">
        <v>4.33050328782722</v>
      </c>
    </row>
    <row r="16" spans="1:18" s="10" customFormat="1" x14ac:dyDescent="0.35">
      <c r="A16" s="18">
        <v>15</v>
      </c>
      <c r="B16" s="18">
        <v>12</v>
      </c>
      <c r="C16" s="18">
        <v>28</v>
      </c>
      <c r="D16" s="10" t="s">
        <v>35</v>
      </c>
      <c r="E16" s="10" t="s">
        <v>53</v>
      </c>
      <c r="F16" s="10">
        <v>380</v>
      </c>
      <c r="G16" s="10">
        <v>33.4</v>
      </c>
      <c r="H16" s="10">
        <v>1999</v>
      </c>
      <c r="I16" s="10">
        <v>1.03</v>
      </c>
      <c r="J16" s="10">
        <v>10.95</v>
      </c>
      <c r="K16" s="10">
        <v>9.1324200913242018E-2</v>
      </c>
      <c r="L16" s="10">
        <f t="shared" si="0"/>
        <v>1444</v>
      </c>
      <c r="M16" s="10">
        <f t="shared" si="2"/>
        <v>131.87214611872147</v>
      </c>
      <c r="N16" s="10">
        <f t="shared" si="1"/>
        <v>7.5831024930747915E-3</v>
      </c>
      <c r="O16" s="10">
        <v>128.19999999999999</v>
      </c>
      <c r="P16" s="10">
        <v>1315.7004344454699</v>
      </c>
      <c r="Q16" s="10">
        <v>50.463139149417799</v>
      </c>
      <c r="R16" s="10">
        <v>4.33050328782722</v>
      </c>
    </row>
    <row r="17" spans="1:18" s="4" customFormat="1" x14ac:dyDescent="0.35">
      <c r="A17" s="19">
        <v>16</v>
      </c>
      <c r="B17" s="19">
        <v>12</v>
      </c>
      <c r="C17" s="19">
        <v>16</v>
      </c>
      <c r="D17" s="4" t="s">
        <v>35</v>
      </c>
      <c r="E17" s="4" t="s">
        <v>40</v>
      </c>
      <c r="F17" s="4">
        <v>380</v>
      </c>
      <c r="G17" s="4">
        <v>1.75</v>
      </c>
      <c r="H17" s="4">
        <v>4185</v>
      </c>
      <c r="I17" s="4">
        <v>2.7387232129477E-2</v>
      </c>
      <c r="J17" s="4">
        <v>0.28731530046455872</v>
      </c>
      <c r="K17" s="4">
        <v>3.4806295399515741</v>
      </c>
      <c r="L17" s="4">
        <f t="shared" si="0"/>
        <v>1444</v>
      </c>
      <c r="M17" s="4">
        <f t="shared" si="2"/>
        <v>5026.0290556900727</v>
      </c>
      <c r="N17" s="4">
        <f t="shared" si="1"/>
        <v>1.989718147261487E-4</v>
      </c>
      <c r="O17" s="4">
        <v>13.6</v>
      </c>
      <c r="P17" s="4">
        <v>2754.4803992767852</v>
      </c>
      <c r="Q17" s="4">
        <v>50.463139149417799</v>
      </c>
      <c r="R17" s="4">
        <v>4.33050328782722</v>
      </c>
    </row>
    <row r="18" spans="1:18" s="4" customFormat="1" x14ac:dyDescent="0.35">
      <c r="A18" s="19">
        <v>17</v>
      </c>
      <c r="B18" s="19">
        <v>13</v>
      </c>
      <c r="C18" s="19">
        <v>44</v>
      </c>
      <c r="D18" s="4" t="s">
        <v>37</v>
      </c>
      <c r="E18" s="4" t="s">
        <v>69</v>
      </c>
      <c r="F18" s="4">
        <v>380</v>
      </c>
      <c r="G18" s="4">
        <v>6.9499999999999993</v>
      </c>
      <c r="H18" s="4">
        <v>3998</v>
      </c>
      <c r="I18" s="4">
        <v>8.0396176956889956E-2</v>
      </c>
      <c r="J18" s="4">
        <v>1.2426806468524421</v>
      </c>
      <c r="K18" s="4">
        <v>0.80577172503242545</v>
      </c>
      <c r="L18" s="4">
        <f t="shared" si="0"/>
        <v>1444</v>
      </c>
      <c r="M18" s="4">
        <f t="shared" si="2"/>
        <v>1163.5343709468223</v>
      </c>
      <c r="N18" s="4">
        <f t="shared" si="1"/>
        <v>8.6058216541027839E-4</v>
      </c>
      <c r="O18" s="4">
        <v>46.92</v>
      </c>
      <c r="P18" s="4">
        <v>2631.4008688909412</v>
      </c>
      <c r="Q18" s="4">
        <v>51.311454178600798</v>
      </c>
      <c r="R18" s="4">
        <v>4.2665197536320099</v>
      </c>
    </row>
    <row r="19" spans="1:18" s="4" customFormat="1" x14ac:dyDescent="0.35">
      <c r="A19" s="19">
        <v>18</v>
      </c>
      <c r="B19" s="19">
        <v>13</v>
      </c>
      <c r="C19" s="19">
        <v>29</v>
      </c>
      <c r="D19" s="4" t="s">
        <v>37</v>
      </c>
      <c r="E19" s="4" t="s">
        <v>5</v>
      </c>
      <c r="F19" s="4">
        <v>380</v>
      </c>
      <c r="G19" s="4">
        <v>22.8</v>
      </c>
      <c r="H19" s="4">
        <v>3998</v>
      </c>
      <c r="I19" s="4">
        <v>0.35499999999999993</v>
      </c>
      <c r="J19" s="4">
        <v>3.74</v>
      </c>
      <c r="K19" s="4">
        <v>0.26737967914438499</v>
      </c>
      <c r="L19" s="4">
        <f t="shared" si="0"/>
        <v>1444</v>
      </c>
      <c r="M19" s="4">
        <f t="shared" si="2"/>
        <v>386.09625668449189</v>
      </c>
      <c r="N19" s="4">
        <f t="shared" si="1"/>
        <v>2.5900277008310251E-3</v>
      </c>
      <c r="O19" s="4">
        <v>176</v>
      </c>
      <c r="P19" s="4">
        <v>2631.4008688909412</v>
      </c>
      <c r="Q19" s="4">
        <v>51.311454178600798</v>
      </c>
      <c r="R19" s="4">
        <v>4.2665197536320099</v>
      </c>
    </row>
    <row r="20" spans="1:18" s="4" customFormat="1" x14ac:dyDescent="0.35">
      <c r="A20" s="19">
        <v>19</v>
      </c>
      <c r="B20" s="19">
        <v>13</v>
      </c>
      <c r="C20" s="19">
        <v>29</v>
      </c>
      <c r="D20" s="4" t="s">
        <v>37</v>
      </c>
      <c r="E20" s="4" t="s">
        <v>5</v>
      </c>
      <c r="F20" s="4">
        <v>380</v>
      </c>
      <c r="G20" s="4">
        <v>22.2</v>
      </c>
      <c r="H20" s="4">
        <v>4372</v>
      </c>
      <c r="I20" s="4">
        <v>0.40000000000000008</v>
      </c>
      <c r="J20" s="4">
        <v>3.42</v>
      </c>
      <c r="K20" s="4">
        <v>0.29239766081871338</v>
      </c>
      <c r="L20" s="4">
        <f t="shared" si="0"/>
        <v>1444</v>
      </c>
      <c r="M20" s="4">
        <f t="shared" si="2"/>
        <v>422.22222222222211</v>
      </c>
      <c r="N20" s="4">
        <f t="shared" si="1"/>
        <v>2.3684210526315791E-3</v>
      </c>
      <c r="O20" s="4">
        <v>160</v>
      </c>
      <c r="P20" s="4">
        <v>2877.5599296626301</v>
      </c>
      <c r="Q20" s="4">
        <v>51.311454178600798</v>
      </c>
      <c r="R20" s="4">
        <v>4.2665197536320099</v>
      </c>
    </row>
    <row r="21" spans="1:18" s="10" customFormat="1" x14ac:dyDescent="0.35">
      <c r="A21" s="18">
        <v>20</v>
      </c>
      <c r="B21" s="18">
        <v>14</v>
      </c>
      <c r="C21" s="18">
        <v>18</v>
      </c>
      <c r="D21" s="10" t="s">
        <v>38</v>
      </c>
      <c r="E21" s="10" t="s">
        <v>42</v>
      </c>
      <c r="F21" s="10">
        <v>380</v>
      </c>
      <c r="G21" s="10">
        <v>13</v>
      </c>
      <c r="H21" s="10">
        <v>4560</v>
      </c>
      <c r="I21" s="10">
        <v>0.4</v>
      </c>
      <c r="J21" s="10">
        <v>4.26</v>
      </c>
      <c r="K21" s="10">
        <v>0.23474178403755869</v>
      </c>
      <c r="L21" s="10">
        <f t="shared" si="0"/>
        <v>1444</v>
      </c>
      <c r="M21" s="10">
        <f t="shared" si="2"/>
        <v>338.96713615023475</v>
      </c>
      <c r="N21" s="10">
        <f t="shared" si="1"/>
        <v>2.9501385041551245E-3</v>
      </c>
      <c r="O21" s="10">
        <v>50.27</v>
      </c>
      <c r="P21" s="10">
        <v>3001.2976393553499</v>
      </c>
      <c r="Q21" s="10">
        <v>51.185988969198299</v>
      </c>
      <c r="R21" s="10">
        <v>3.5614453642411998</v>
      </c>
    </row>
    <row r="22" spans="1:18" s="10" customFormat="1" x14ac:dyDescent="0.35">
      <c r="A22" s="18">
        <v>21</v>
      </c>
      <c r="B22" s="18">
        <v>14</v>
      </c>
      <c r="C22" s="18">
        <v>24</v>
      </c>
      <c r="D22" s="10" t="s">
        <v>38</v>
      </c>
      <c r="E22" s="10" t="s">
        <v>49</v>
      </c>
      <c r="F22" s="10">
        <v>380</v>
      </c>
      <c r="G22" s="10">
        <v>17.3</v>
      </c>
      <c r="H22" s="10">
        <v>4689</v>
      </c>
      <c r="I22" s="10">
        <v>0.28000000000000003</v>
      </c>
      <c r="J22" s="10">
        <v>4.07</v>
      </c>
      <c r="K22" s="10">
        <v>0.24570024570024571</v>
      </c>
      <c r="L22" s="10">
        <f t="shared" si="0"/>
        <v>1444</v>
      </c>
      <c r="M22" s="10">
        <f t="shared" si="2"/>
        <v>354.79115479115478</v>
      </c>
      <c r="N22" s="10">
        <f t="shared" si="1"/>
        <v>2.818559556786704E-3</v>
      </c>
      <c r="O22" s="10">
        <v>79.599999999999994</v>
      </c>
      <c r="P22" s="10">
        <v>3086.202769942377</v>
      </c>
      <c r="Q22" s="10">
        <v>51.185988969198299</v>
      </c>
      <c r="R22" s="10">
        <v>3.5614453642411998</v>
      </c>
    </row>
    <row r="23" spans="1:18" s="4" customFormat="1" x14ac:dyDescent="0.35">
      <c r="A23" s="19">
        <v>22</v>
      </c>
      <c r="B23" s="19">
        <v>15</v>
      </c>
      <c r="C23" s="19">
        <v>24</v>
      </c>
      <c r="D23" s="4" t="s">
        <v>39</v>
      </c>
      <c r="E23" s="4" t="s">
        <v>49</v>
      </c>
      <c r="F23" s="4">
        <v>380</v>
      </c>
      <c r="G23" s="4">
        <v>10.1</v>
      </c>
      <c r="H23" s="4">
        <v>3270</v>
      </c>
      <c r="I23" s="4">
        <v>4.5000224850474432E-2</v>
      </c>
      <c r="J23" s="4">
        <v>1.1174944162132181</v>
      </c>
      <c r="K23" s="4">
        <v>0.89485906470211396</v>
      </c>
      <c r="L23" s="4">
        <f t="shared" si="0"/>
        <v>1444</v>
      </c>
      <c r="M23" s="4">
        <f t="shared" si="2"/>
        <v>1292.1764894298526</v>
      </c>
      <c r="N23" s="4">
        <f t="shared" si="1"/>
        <v>7.7388809987064965E-4</v>
      </c>
      <c r="O23" s="4">
        <v>1451.62</v>
      </c>
      <c r="P23" s="4">
        <v>2152.2463334850868</v>
      </c>
      <c r="Q23" s="4">
        <v>51.2876667708288</v>
      </c>
      <c r="R23" s="4">
        <v>3.1884903398949098</v>
      </c>
    </row>
    <row r="24" spans="1:18" s="4" customFormat="1" x14ac:dyDescent="0.35">
      <c r="A24" s="19">
        <v>23</v>
      </c>
      <c r="B24" s="19">
        <v>15</v>
      </c>
      <c r="C24" s="19">
        <v>24</v>
      </c>
      <c r="D24" s="4" t="s">
        <v>39</v>
      </c>
      <c r="E24" s="4" t="s">
        <v>49</v>
      </c>
      <c r="F24" s="4">
        <v>380</v>
      </c>
      <c r="G24" s="4">
        <v>10.1</v>
      </c>
      <c r="H24" s="4">
        <v>3270</v>
      </c>
      <c r="I24" s="4">
        <v>5.4999999999999993E-2</v>
      </c>
      <c r="J24" s="4">
        <v>1.105</v>
      </c>
      <c r="K24" s="4">
        <v>0.90497737556561086</v>
      </c>
      <c r="L24" s="4">
        <f t="shared" si="0"/>
        <v>1444</v>
      </c>
      <c r="M24" s="4">
        <f t="shared" si="2"/>
        <v>1306.7873303167421</v>
      </c>
      <c r="N24" s="4">
        <f t="shared" si="1"/>
        <v>7.6523545706371193E-4</v>
      </c>
      <c r="O24" s="4">
        <v>1451.62</v>
      </c>
      <c r="P24" s="4">
        <v>2152.2463334850868</v>
      </c>
      <c r="Q24" s="4">
        <v>51.2876667708288</v>
      </c>
      <c r="R24" s="4">
        <v>3.1884903398949098</v>
      </c>
    </row>
    <row r="25" spans="1:18" s="4" customFormat="1" x14ac:dyDescent="0.35">
      <c r="A25" s="19">
        <v>24</v>
      </c>
      <c r="B25" s="19">
        <v>15</v>
      </c>
      <c r="C25" s="19">
        <v>39</v>
      </c>
      <c r="D25" s="4" t="s">
        <v>39</v>
      </c>
      <c r="E25" s="4" t="s">
        <v>63</v>
      </c>
      <c r="F25" s="4">
        <v>380</v>
      </c>
      <c r="G25" s="4">
        <v>8</v>
      </c>
      <c r="H25" s="4">
        <v>9288</v>
      </c>
      <c r="I25" s="4">
        <v>6.5000000000000002E-2</v>
      </c>
      <c r="J25" s="4">
        <v>0.95000000000000007</v>
      </c>
      <c r="K25" s="4">
        <v>1.0526315789473679</v>
      </c>
      <c r="L25" s="4">
        <f t="shared" si="0"/>
        <v>1444</v>
      </c>
      <c r="M25" s="4">
        <f t="shared" si="2"/>
        <v>1519.9999999999993</v>
      </c>
      <c r="N25" s="4">
        <f t="shared" si="1"/>
        <v>6.5789473684210536E-4</v>
      </c>
      <c r="O25" s="4">
        <v>36.840000000000003</v>
      </c>
      <c r="P25" s="4">
        <v>6113.1694022658976</v>
      </c>
      <c r="Q25" s="4">
        <v>51.2876667708288</v>
      </c>
      <c r="R25" s="4">
        <v>3.1884903398949098</v>
      </c>
    </row>
    <row r="26" spans="1:18" s="10" customFormat="1" x14ac:dyDescent="0.35">
      <c r="A26" s="18">
        <v>25</v>
      </c>
      <c r="B26" s="18">
        <v>15</v>
      </c>
      <c r="C26" s="18">
        <v>30</v>
      </c>
      <c r="D26" s="10" t="s">
        <v>39</v>
      </c>
      <c r="E26" s="10" t="s">
        <v>54</v>
      </c>
      <c r="F26" s="10">
        <v>380</v>
      </c>
      <c r="G26" s="10">
        <v>0.8</v>
      </c>
      <c r="H26" s="10">
        <v>1635</v>
      </c>
      <c r="I26" s="10">
        <v>0.01</v>
      </c>
      <c r="J26" s="10">
        <v>7.0000000000000007E-2</v>
      </c>
      <c r="K26" s="10">
        <v>14.285714285714279</v>
      </c>
      <c r="L26" s="10">
        <f t="shared" si="0"/>
        <v>1444</v>
      </c>
      <c r="M26" s="10">
        <f t="shared" si="2"/>
        <v>20628.57142857142</v>
      </c>
      <c r="N26" s="10">
        <f t="shared" si="1"/>
        <v>4.8476454293628813E-5</v>
      </c>
      <c r="O26" s="10">
        <v>56.19</v>
      </c>
      <c r="P26" s="10">
        <v>1076.1231667425429</v>
      </c>
      <c r="Q26" s="10">
        <v>51.2876667708288</v>
      </c>
      <c r="R26" s="10">
        <v>3.1884903398949098</v>
      </c>
    </row>
    <row r="27" spans="1:18" s="10" customFormat="1" x14ac:dyDescent="0.35">
      <c r="A27" s="18">
        <v>26</v>
      </c>
      <c r="B27" s="18">
        <v>17</v>
      </c>
      <c r="C27" s="18">
        <v>23</v>
      </c>
      <c r="D27" s="10" t="s">
        <v>41</v>
      </c>
      <c r="E27" s="10" t="s">
        <v>48</v>
      </c>
      <c r="F27" s="10">
        <v>380</v>
      </c>
      <c r="G27" s="10">
        <v>53.4</v>
      </c>
      <c r="H27" s="10">
        <v>2051</v>
      </c>
      <c r="I27" s="10">
        <v>3.04</v>
      </c>
      <c r="J27" s="10">
        <v>20.03</v>
      </c>
      <c r="K27" s="10">
        <v>4.9925112331502743E-2</v>
      </c>
      <c r="L27" s="10">
        <f t="shared" si="0"/>
        <v>1444</v>
      </c>
      <c r="M27" s="10">
        <f t="shared" si="2"/>
        <v>72.091862206689967</v>
      </c>
      <c r="N27" s="10">
        <f t="shared" si="1"/>
        <v>1.3871191135734073E-2</v>
      </c>
      <c r="O27" s="10">
        <v>170.88</v>
      </c>
      <c r="P27" s="10">
        <v>1349.9257584030311</v>
      </c>
      <c r="Q27" s="10">
        <v>50.526859475468299</v>
      </c>
      <c r="R27" s="10">
        <v>5.2309635725993298</v>
      </c>
    </row>
    <row r="28" spans="1:18" s="10" customFormat="1" x14ac:dyDescent="0.35">
      <c r="A28" s="18">
        <v>27</v>
      </c>
      <c r="B28" s="18">
        <v>17</v>
      </c>
      <c r="C28" s="18">
        <v>45</v>
      </c>
      <c r="D28" s="10" t="s">
        <v>41</v>
      </c>
      <c r="E28" s="10" t="s">
        <v>70</v>
      </c>
      <c r="F28" s="10">
        <v>380</v>
      </c>
      <c r="G28" s="10">
        <v>55.6</v>
      </c>
      <c r="H28" s="10">
        <v>2000</v>
      </c>
      <c r="I28" s="10">
        <v>1.85</v>
      </c>
      <c r="J28" s="10">
        <v>17.45</v>
      </c>
      <c r="K28" s="10">
        <v>5.730659025787966E-2</v>
      </c>
      <c r="L28" s="10">
        <f t="shared" si="0"/>
        <v>1444</v>
      </c>
      <c r="M28" s="10">
        <f t="shared" si="2"/>
        <v>82.750716332378232</v>
      </c>
      <c r="N28" s="10">
        <f t="shared" si="1"/>
        <v>1.2084487534626038E-2</v>
      </c>
      <c r="O28" s="10">
        <v>202.7</v>
      </c>
      <c r="P28" s="10">
        <v>1316.3586137523471</v>
      </c>
      <c r="Q28" s="10">
        <v>50.526859475468299</v>
      </c>
      <c r="R28" s="10">
        <v>5.2309635725993298</v>
      </c>
    </row>
    <row r="29" spans="1:18" s="4" customFormat="1" x14ac:dyDescent="0.35">
      <c r="A29" s="19">
        <v>28</v>
      </c>
      <c r="B29" s="19">
        <v>17</v>
      </c>
      <c r="C29" s="19">
        <v>40</v>
      </c>
      <c r="D29" s="4" t="s">
        <v>41</v>
      </c>
      <c r="E29" s="4" t="s">
        <v>64</v>
      </c>
      <c r="F29" s="4">
        <v>380</v>
      </c>
      <c r="G29" s="4">
        <v>2.95</v>
      </c>
      <c r="H29" s="4">
        <v>4372</v>
      </c>
      <c r="I29" s="4">
        <v>4.4447342506587183E-2</v>
      </c>
      <c r="J29" s="4">
        <v>0.47564793867937077</v>
      </c>
      <c r="K29" s="4">
        <v>2.10239651416122</v>
      </c>
      <c r="L29" s="4">
        <f t="shared" si="0"/>
        <v>1444</v>
      </c>
      <c r="M29" s="4">
        <f t="shared" si="2"/>
        <v>3035.8605664488018</v>
      </c>
      <c r="N29" s="4">
        <f t="shared" si="1"/>
        <v>3.2939607941784679E-4</v>
      </c>
      <c r="O29" s="4">
        <v>22.78</v>
      </c>
      <c r="P29" s="4">
        <v>2877.5599296626301</v>
      </c>
      <c r="Q29" s="4">
        <v>50.526859475468299</v>
      </c>
      <c r="R29" s="4">
        <v>5.2309635725993298</v>
      </c>
    </row>
    <row r="30" spans="1:18" s="10" customFormat="1" x14ac:dyDescent="0.35">
      <c r="A30" s="18">
        <v>29</v>
      </c>
      <c r="B30" s="18">
        <v>17</v>
      </c>
      <c r="C30" s="18">
        <v>38</v>
      </c>
      <c r="D30" s="10" t="s">
        <v>41</v>
      </c>
      <c r="E30" s="10" t="s">
        <v>62</v>
      </c>
      <c r="F30" s="10">
        <v>380</v>
      </c>
      <c r="G30" s="10">
        <v>56.4</v>
      </c>
      <c r="H30" s="10">
        <v>1999</v>
      </c>
      <c r="I30" s="10">
        <v>1.75</v>
      </c>
      <c r="J30" s="10">
        <v>18.5</v>
      </c>
      <c r="K30" s="10">
        <v>5.4054054054054057E-2</v>
      </c>
      <c r="L30" s="10">
        <f t="shared" si="0"/>
        <v>1444</v>
      </c>
      <c r="M30" s="10">
        <f t="shared" si="2"/>
        <v>78.054054054054063</v>
      </c>
      <c r="N30" s="10">
        <f t="shared" si="1"/>
        <v>1.2811634349030472E-2</v>
      </c>
      <c r="O30" s="10">
        <v>217.8</v>
      </c>
      <c r="P30" s="10">
        <v>1315.7004344454699</v>
      </c>
      <c r="Q30" s="10">
        <v>50.526859475468299</v>
      </c>
      <c r="R30" s="10">
        <v>5.2309635725993298</v>
      </c>
    </row>
    <row r="31" spans="1:18" s="4" customFormat="1" x14ac:dyDescent="0.35">
      <c r="A31" s="19">
        <v>30</v>
      </c>
      <c r="B31" s="19">
        <v>17</v>
      </c>
      <c r="C31" s="19">
        <v>40</v>
      </c>
      <c r="D31" s="4" t="s">
        <v>41</v>
      </c>
      <c r="E31" s="4" t="s">
        <v>64</v>
      </c>
      <c r="F31" s="4">
        <v>380</v>
      </c>
      <c r="G31" s="4">
        <v>2.9</v>
      </c>
      <c r="H31" s="4">
        <v>3998</v>
      </c>
      <c r="I31" s="4">
        <v>4.5000000000000012E-2</v>
      </c>
      <c r="J31" s="4">
        <v>0.47499999999999998</v>
      </c>
      <c r="K31" s="4">
        <v>2.1052631578947372</v>
      </c>
      <c r="L31" s="4">
        <f t="shared" si="0"/>
        <v>1444</v>
      </c>
      <c r="M31" s="4">
        <f t="shared" si="2"/>
        <v>3040.0000000000005</v>
      </c>
      <c r="N31" s="4">
        <f t="shared" si="1"/>
        <v>3.2894736842105262E-4</v>
      </c>
      <c r="O31" s="4">
        <v>22.38</v>
      </c>
      <c r="P31" s="4">
        <v>2631.4008688909412</v>
      </c>
      <c r="Q31" s="4">
        <v>50.526859475468299</v>
      </c>
      <c r="R31" s="4">
        <v>5.2309635725993298</v>
      </c>
    </row>
    <row r="32" spans="1:18" s="10" customFormat="1" x14ac:dyDescent="0.35">
      <c r="A32" s="18">
        <v>31</v>
      </c>
      <c r="B32" s="18">
        <v>17</v>
      </c>
      <c r="C32" s="18">
        <v>32</v>
      </c>
      <c r="D32" s="10" t="s">
        <v>41</v>
      </c>
      <c r="E32" s="10" t="s">
        <v>56</v>
      </c>
      <c r="F32" s="10">
        <v>380</v>
      </c>
      <c r="G32" s="10">
        <v>14.6</v>
      </c>
      <c r="H32" s="10">
        <v>1999</v>
      </c>
      <c r="I32" s="10">
        <v>0.45</v>
      </c>
      <c r="J32" s="10">
        <v>4.79</v>
      </c>
      <c r="K32" s="10">
        <v>0.20876826722338199</v>
      </c>
      <c r="L32" s="10">
        <f t="shared" si="0"/>
        <v>1444</v>
      </c>
      <c r="M32" s="10">
        <f t="shared" si="2"/>
        <v>301.46137787056358</v>
      </c>
      <c r="N32" s="10">
        <f t="shared" si="1"/>
        <v>3.3171745152354572E-3</v>
      </c>
      <c r="O32" s="10">
        <v>54</v>
      </c>
      <c r="P32" s="10">
        <v>1315.7004344454699</v>
      </c>
      <c r="Q32" s="10">
        <v>50.526859475468299</v>
      </c>
      <c r="R32" s="10">
        <v>5.2309635725993298</v>
      </c>
    </row>
    <row r="33" spans="1:18" s="10" customFormat="1" x14ac:dyDescent="0.35">
      <c r="A33" s="18">
        <v>32</v>
      </c>
      <c r="B33" s="18">
        <v>18</v>
      </c>
      <c r="C33" s="18">
        <v>24</v>
      </c>
      <c r="D33" s="10" t="s">
        <v>42</v>
      </c>
      <c r="E33" s="10" t="s">
        <v>49</v>
      </c>
      <c r="F33" s="10">
        <v>380</v>
      </c>
      <c r="G33" s="10">
        <v>29</v>
      </c>
      <c r="H33" s="10">
        <v>4689</v>
      </c>
      <c r="I33" s="10">
        <v>0.43</v>
      </c>
      <c r="J33" s="10">
        <v>7.94</v>
      </c>
      <c r="K33" s="10">
        <v>0.12594458438287151</v>
      </c>
      <c r="L33" s="10">
        <f t="shared" si="0"/>
        <v>1444</v>
      </c>
      <c r="M33" s="10">
        <f t="shared" si="2"/>
        <v>181.86397984886645</v>
      </c>
      <c r="N33" s="10">
        <f t="shared" si="1"/>
        <v>5.4986149584487541E-3</v>
      </c>
      <c r="O33" s="10">
        <v>115.83</v>
      </c>
      <c r="P33" s="10">
        <v>3086.202769942377</v>
      </c>
      <c r="Q33" s="10">
        <v>51.109667364798298</v>
      </c>
      <c r="R33" s="10">
        <v>3.5966489165750701</v>
      </c>
    </row>
    <row r="34" spans="1:18" s="10" customFormat="1" x14ac:dyDescent="0.35">
      <c r="A34" s="18">
        <v>33</v>
      </c>
      <c r="B34" s="18">
        <v>18</v>
      </c>
      <c r="C34" s="18">
        <v>29</v>
      </c>
      <c r="D34" s="10" t="s">
        <v>42</v>
      </c>
      <c r="E34" s="10" t="s">
        <v>5</v>
      </c>
      <c r="F34" s="10">
        <v>380</v>
      </c>
      <c r="G34" s="10">
        <v>48.4</v>
      </c>
      <c r="H34" s="10">
        <v>3400</v>
      </c>
      <c r="I34" s="10">
        <v>1.58</v>
      </c>
      <c r="J34" s="10">
        <v>15.19</v>
      </c>
      <c r="K34" s="10">
        <v>6.583278472679395E-2</v>
      </c>
      <c r="L34" s="10">
        <f t="shared" si="0"/>
        <v>1444</v>
      </c>
      <c r="M34" s="10">
        <f t="shared" si="2"/>
        <v>95.062541145490457</v>
      </c>
      <c r="N34" s="10">
        <f t="shared" si="1"/>
        <v>1.0519390581717452E-2</v>
      </c>
      <c r="O34" s="10">
        <v>176.33</v>
      </c>
      <c r="P34" s="10">
        <v>2237.8096433789892</v>
      </c>
      <c r="Q34" s="10">
        <v>51.109667364798298</v>
      </c>
      <c r="R34" s="10">
        <v>3.5966489165750701</v>
      </c>
    </row>
    <row r="35" spans="1:18" s="10" customFormat="1" x14ac:dyDescent="0.35">
      <c r="A35" s="18">
        <v>34</v>
      </c>
      <c r="B35" s="18">
        <v>18</v>
      </c>
      <c r="C35" s="18">
        <v>33</v>
      </c>
      <c r="D35" s="10" t="s">
        <v>42</v>
      </c>
      <c r="E35" s="10" t="s">
        <v>57</v>
      </c>
      <c r="F35" s="10">
        <v>380</v>
      </c>
      <c r="G35" s="10">
        <v>14.2</v>
      </c>
      <c r="H35" s="10">
        <v>2186</v>
      </c>
      <c r="I35" s="10">
        <v>0.44</v>
      </c>
      <c r="J35" s="10">
        <v>4.6399999999999997</v>
      </c>
      <c r="K35" s="10">
        <v>0.21551724137931039</v>
      </c>
      <c r="L35" s="10">
        <f t="shared" si="0"/>
        <v>1444</v>
      </c>
      <c r="M35" s="10">
        <f t="shared" si="2"/>
        <v>311.20689655172418</v>
      </c>
      <c r="N35" s="10">
        <f t="shared" si="1"/>
        <v>3.2132963988919664E-3</v>
      </c>
      <c r="O35" s="10">
        <v>54.71</v>
      </c>
      <c r="P35" s="10">
        <v>1438.7799648313151</v>
      </c>
      <c r="Q35" s="10">
        <v>51.109667364798298</v>
      </c>
      <c r="R35" s="10">
        <v>3.5966489165750701</v>
      </c>
    </row>
    <row r="36" spans="1:18" s="10" customFormat="1" x14ac:dyDescent="0.35">
      <c r="A36" s="18">
        <v>35</v>
      </c>
      <c r="B36" s="18">
        <v>21</v>
      </c>
      <c r="C36" s="18">
        <v>26</v>
      </c>
      <c r="D36" s="10" t="s">
        <v>45</v>
      </c>
      <c r="E36" s="10" t="s">
        <v>51</v>
      </c>
      <c r="F36" s="10">
        <v>380</v>
      </c>
      <c r="G36" s="10">
        <v>14.1</v>
      </c>
      <c r="H36" s="10">
        <v>2188</v>
      </c>
      <c r="I36" s="10">
        <v>0.46</v>
      </c>
      <c r="J36" s="10">
        <v>4.5599999999999996</v>
      </c>
      <c r="K36" s="10">
        <v>0.2192982456140351</v>
      </c>
      <c r="L36" s="10">
        <f t="shared" si="0"/>
        <v>1444</v>
      </c>
      <c r="M36" s="10">
        <f t="shared" si="2"/>
        <v>316.66666666666669</v>
      </c>
      <c r="N36" s="10">
        <f t="shared" si="1"/>
        <v>3.1578947368421052E-3</v>
      </c>
      <c r="O36" s="10">
        <v>50.17</v>
      </c>
      <c r="P36" s="10">
        <v>1440.0963234450669</v>
      </c>
      <c r="Q36" s="10">
        <v>51.127386602883497</v>
      </c>
      <c r="R36" s="10">
        <v>4.4959425052437201</v>
      </c>
    </row>
    <row r="37" spans="1:18" s="4" customFormat="1" x14ac:dyDescent="0.35">
      <c r="A37" s="19">
        <v>36</v>
      </c>
      <c r="B37" s="19">
        <v>21</v>
      </c>
      <c r="C37" s="19">
        <v>29</v>
      </c>
      <c r="D37" s="4" t="s">
        <v>45</v>
      </c>
      <c r="E37" s="4" t="s">
        <v>5</v>
      </c>
      <c r="F37" s="4">
        <v>380</v>
      </c>
      <c r="G37" s="4">
        <v>21.1</v>
      </c>
      <c r="H37" s="4">
        <v>4372</v>
      </c>
      <c r="I37" s="4">
        <v>0.32500000000000001</v>
      </c>
      <c r="J37" s="4">
        <v>3.46</v>
      </c>
      <c r="K37" s="4">
        <v>0.28901734104046239</v>
      </c>
      <c r="L37" s="4">
        <f t="shared" si="0"/>
        <v>1444</v>
      </c>
      <c r="M37" s="4">
        <f t="shared" si="2"/>
        <v>417.34104046242771</v>
      </c>
      <c r="N37" s="4">
        <f t="shared" si="1"/>
        <v>2.3961218836565097E-3</v>
      </c>
      <c r="O37" s="4">
        <v>147.6</v>
      </c>
      <c r="P37" s="4">
        <v>2877.5599296626301</v>
      </c>
      <c r="Q37" s="4">
        <v>51.127386602883497</v>
      </c>
      <c r="R37" s="4">
        <v>4.4959425052437201</v>
      </c>
    </row>
    <row r="38" spans="1:18" s="10" customFormat="1" x14ac:dyDescent="0.35">
      <c r="A38" s="18">
        <v>37</v>
      </c>
      <c r="B38" s="18">
        <v>23</v>
      </c>
      <c r="C38" s="18">
        <v>41</v>
      </c>
      <c r="D38" s="10" t="s">
        <v>48</v>
      </c>
      <c r="E38" s="10" t="s">
        <v>65</v>
      </c>
      <c r="F38" s="10">
        <v>380</v>
      </c>
      <c r="G38" s="10">
        <v>53</v>
      </c>
      <c r="H38" s="10">
        <v>1999</v>
      </c>
      <c r="I38" s="10">
        <v>2.0699999999999998</v>
      </c>
      <c r="J38" s="10">
        <v>16.53</v>
      </c>
      <c r="K38" s="10">
        <v>6.0496067755595892E-2</v>
      </c>
      <c r="L38" s="10">
        <f t="shared" si="0"/>
        <v>1444</v>
      </c>
      <c r="M38" s="10">
        <f t="shared" si="2"/>
        <v>87.356321839080465</v>
      </c>
      <c r="N38" s="10">
        <f t="shared" si="1"/>
        <v>1.1447368421052633E-2</v>
      </c>
      <c r="O38" s="10">
        <v>192.96</v>
      </c>
      <c r="P38" s="10">
        <v>1315.7004344454699</v>
      </c>
      <c r="Q38" s="10">
        <v>50.757772036836997</v>
      </c>
      <c r="R38" s="10">
        <v>5.6814758674481398</v>
      </c>
    </row>
    <row r="39" spans="1:18" s="10" customFormat="1" x14ac:dyDescent="0.35">
      <c r="A39" s="18">
        <v>38</v>
      </c>
      <c r="B39" s="18">
        <v>26</v>
      </c>
      <c r="C39" s="18">
        <v>27</v>
      </c>
      <c r="D39" s="10" t="s">
        <v>51</v>
      </c>
      <c r="E39" s="10" t="s">
        <v>52</v>
      </c>
      <c r="F39" s="10">
        <v>380</v>
      </c>
      <c r="G39" s="10">
        <v>32.5</v>
      </c>
      <c r="H39" s="10">
        <v>2186</v>
      </c>
      <c r="I39" s="10">
        <v>1.01</v>
      </c>
      <c r="J39" s="10">
        <v>10.66</v>
      </c>
      <c r="K39" s="10">
        <v>9.3808630393996242E-2</v>
      </c>
      <c r="L39" s="10">
        <f t="shared" si="0"/>
        <v>1444</v>
      </c>
      <c r="M39" s="10">
        <f t="shared" si="2"/>
        <v>135.45966228893059</v>
      </c>
      <c r="N39" s="10">
        <f t="shared" si="1"/>
        <v>7.3822714681440445E-3</v>
      </c>
      <c r="O39" s="10">
        <v>125.4</v>
      </c>
      <c r="P39" s="10">
        <v>1438.7799648313151</v>
      </c>
      <c r="Q39" s="10">
        <v>51.199539753019501</v>
      </c>
      <c r="R39" s="10">
        <v>4.6401153205956502</v>
      </c>
    </row>
    <row r="40" spans="1:18" s="10" customFormat="1" x14ac:dyDescent="0.35">
      <c r="A40" s="18">
        <v>39</v>
      </c>
      <c r="B40" s="18">
        <v>26</v>
      </c>
      <c r="C40" s="18">
        <v>29</v>
      </c>
      <c r="D40" s="10" t="s">
        <v>51</v>
      </c>
      <c r="E40" s="10" t="s">
        <v>5</v>
      </c>
      <c r="F40" s="10">
        <v>380</v>
      </c>
      <c r="G40" s="10">
        <v>35</v>
      </c>
      <c r="H40" s="10">
        <v>2186</v>
      </c>
      <c r="I40" s="10">
        <v>1.0900000000000001</v>
      </c>
      <c r="J40" s="10">
        <v>11.54</v>
      </c>
      <c r="K40" s="10">
        <v>8.6655112651646451E-2</v>
      </c>
      <c r="L40" s="10">
        <f t="shared" si="0"/>
        <v>1444</v>
      </c>
      <c r="M40" s="10">
        <f t="shared" si="2"/>
        <v>125.12998266897748</v>
      </c>
      <c r="N40" s="10">
        <f t="shared" si="1"/>
        <v>7.99168975069252E-3</v>
      </c>
      <c r="O40" s="10">
        <v>123.2</v>
      </c>
      <c r="P40" s="10">
        <v>1438.7799648313151</v>
      </c>
      <c r="Q40" s="10">
        <v>51.199539753019501</v>
      </c>
      <c r="R40" s="10">
        <v>4.6401153205956502</v>
      </c>
    </row>
    <row r="41" spans="1:18" s="10" customFormat="1" x14ac:dyDescent="0.35">
      <c r="A41" s="18">
        <v>40</v>
      </c>
      <c r="B41" s="18">
        <v>27</v>
      </c>
      <c r="C41" s="18">
        <v>41</v>
      </c>
      <c r="D41" s="10" t="s">
        <v>52</v>
      </c>
      <c r="E41" s="10" t="s">
        <v>65</v>
      </c>
      <c r="F41" s="10">
        <v>380</v>
      </c>
      <c r="G41" s="10">
        <v>57.5</v>
      </c>
      <c r="H41" s="10">
        <v>2186</v>
      </c>
      <c r="I41" s="10">
        <v>1.78</v>
      </c>
      <c r="J41" s="10">
        <v>18.86</v>
      </c>
      <c r="K41" s="10">
        <v>5.3022269353128322E-2</v>
      </c>
      <c r="L41" s="10">
        <f t="shared" si="0"/>
        <v>1444</v>
      </c>
      <c r="M41" s="10">
        <f t="shared" si="2"/>
        <v>76.564156945917304</v>
      </c>
      <c r="N41" s="10">
        <f t="shared" si="1"/>
        <v>1.3060941828254848E-2</v>
      </c>
      <c r="O41" s="10">
        <v>220.86</v>
      </c>
      <c r="P41" s="10">
        <v>1438.7799648313151</v>
      </c>
      <c r="Q41" s="10">
        <v>51.132446353747298</v>
      </c>
      <c r="R41" s="10">
        <v>5.07791580806974</v>
      </c>
    </row>
    <row r="42" spans="1:18" s="10" customFormat="1" x14ac:dyDescent="0.35">
      <c r="A42" s="18">
        <v>41</v>
      </c>
      <c r="B42" s="18">
        <v>29</v>
      </c>
      <c r="C42" s="18">
        <v>33</v>
      </c>
      <c r="D42" s="10" t="s">
        <v>5</v>
      </c>
      <c r="E42" s="10" t="s">
        <v>57</v>
      </c>
      <c r="F42" s="10">
        <v>380</v>
      </c>
      <c r="G42" s="10">
        <v>34.200000000000003</v>
      </c>
      <c r="H42" s="10">
        <v>1999</v>
      </c>
      <c r="I42" s="10">
        <v>1.07</v>
      </c>
      <c r="J42" s="10">
        <v>11.21</v>
      </c>
      <c r="K42" s="10">
        <v>8.9206066012488844E-2</v>
      </c>
      <c r="L42" s="10">
        <f t="shared" si="0"/>
        <v>1444</v>
      </c>
      <c r="M42" s="10">
        <f t="shared" si="2"/>
        <v>128.81355932203388</v>
      </c>
      <c r="N42" s="10">
        <f t="shared" si="1"/>
        <v>7.7631578947368425E-3</v>
      </c>
      <c r="O42" s="10">
        <v>132.19999999999999</v>
      </c>
      <c r="P42" s="10">
        <v>1315.7004344454699</v>
      </c>
      <c r="Q42" s="10">
        <v>51.188276594903101</v>
      </c>
      <c r="R42" s="10">
        <v>4.2600114584800899</v>
      </c>
    </row>
    <row r="43" spans="1:18" s="10" customFormat="1" x14ac:dyDescent="0.35">
      <c r="A43" s="18">
        <v>42</v>
      </c>
      <c r="B43" s="18">
        <v>41</v>
      </c>
      <c r="C43" s="18">
        <v>45</v>
      </c>
      <c r="D43" s="10" t="s">
        <v>65</v>
      </c>
      <c r="E43" s="10" t="s">
        <v>70</v>
      </c>
      <c r="F43" s="10">
        <v>380</v>
      </c>
      <c r="G43" s="10">
        <v>31.1</v>
      </c>
      <c r="H43" s="10">
        <v>1999</v>
      </c>
      <c r="I43" s="10">
        <v>0.72</v>
      </c>
      <c r="J43" s="10">
        <v>9.5500000000000007</v>
      </c>
      <c r="K43" s="10">
        <v>0.1047120418848167</v>
      </c>
      <c r="L43" s="10">
        <f t="shared" si="0"/>
        <v>1444</v>
      </c>
      <c r="M43" s="10">
        <f t="shared" si="2"/>
        <v>151.20418848167532</v>
      </c>
      <c r="N43" s="10">
        <f t="shared" si="1"/>
        <v>6.6135734072022166E-3</v>
      </c>
      <c r="O43" s="10">
        <v>114.35</v>
      </c>
      <c r="P43" s="10">
        <v>1315.7004344454699</v>
      </c>
      <c r="Q43" s="10">
        <v>51.121523000000003</v>
      </c>
      <c r="R43" s="10">
        <v>5.7731950000000003</v>
      </c>
    </row>
    <row r="44" spans="1:18" s="10" customFormat="1" x14ac:dyDescent="0.35">
      <c r="A44" s="18">
        <v>43</v>
      </c>
      <c r="B44" s="18">
        <v>2</v>
      </c>
      <c r="C44" s="18">
        <v>43</v>
      </c>
      <c r="D44" s="10" t="s">
        <v>20</v>
      </c>
      <c r="E44" s="10" t="s">
        <v>68</v>
      </c>
      <c r="F44" s="10">
        <v>220</v>
      </c>
      <c r="G44" s="10">
        <v>47.2</v>
      </c>
      <c r="H44" s="10">
        <v>1063</v>
      </c>
      <c r="I44" s="10">
        <v>4.01</v>
      </c>
      <c r="J44" s="10">
        <v>14.16</v>
      </c>
      <c r="K44" s="10">
        <v>7.0621468926553674E-2</v>
      </c>
      <c r="L44" s="10">
        <f t="shared" si="0"/>
        <v>484</v>
      </c>
      <c r="M44" s="10">
        <f t="shared" si="2"/>
        <v>34.180790960451979</v>
      </c>
      <c r="N44" s="10">
        <f t="shared" si="1"/>
        <v>2.9256198347107437E-2</v>
      </c>
      <c r="O44" s="10">
        <v>154.16</v>
      </c>
      <c r="P44" s="10">
        <v>405.05740185805757</v>
      </c>
      <c r="Q44" s="10">
        <v>49.563837674746701</v>
      </c>
      <c r="R44" s="10">
        <v>5.7992758711646104</v>
      </c>
    </row>
    <row r="45" spans="1:18" s="10" customFormat="1" x14ac:dyDescent="0.35">
      <c r="A45" s="18">
        <v>44</v>
      </c>
      <c r="B45" s="18">
        <v>5</v>
      </c>
      <c r="C45" s="18">
        <v>36</v>
      </c>
      <c r="D45" s="10" t="s">
        <v>24</v>
      </c>
      <c r="E45" s="10" t="s">
        <v>60</v>
      </c>
      <c r="F45" s="10">
        <v>220</v>
      </c>
      <c r="G45" s="10">
        <v>6.6</v>
      </c>
      <c r="H45" s="10">
        <v>1092</v>
      </c>
      <c r="I45" s="10">
        <v>0.33</v>
      </c>
      <c r="J45" s="10">
        <v>2.64</v>
      </c>
      <c r="K45" s="10">
        <v>0.37878787878787878</v>
      </c>
      <c r="L45" s="10">
        <f t="shared" si="0"/>
        <v>484</v>
      </c>
      <c r="M45" s="10">
        <f t="shared" si="2"/>
        <v>183.33333333333334</v>
      </c>
      <c r="N45" s="10">
        <f t="shared" si="1"/>
        <v>5.454545454545455E-3</v>
      </c>
      <c r="O45" s="10">
        <v>18.649999999999999</v>
      </c>
      <c r="P45" s="10">
        <v>416.10788601034699</v>
      </c>
      <c r="Q45" s="10">
        <v>50.600454629345201</v>
      </c>
      <c r="R45" s="10">
        <v>5.4089420126620302</v>
      </c>
    </row>
    <row r="46" spans="1:18" s="10" customFormat="1" x14ac:dyDescent="0.35">
      <c r="A46" s="18">
        <v>45</v>
      </c>
      <c r="B46" s="18">
        <v>5</v>
      </c>
      <c r="C46" s="18">
        <v>31</v>
      </c>
      <c r="D46" s="10" t="s">
        <v>24</v>
      </c>
      <c r="E46" s="10" t="s">
        <v>55</v>
      </c>
      <c r="F46" s="10">
        <v>220</v>
      </c>
      <c r="G46" s="10">
        <v>7.4</v>
      </c>
      <c r="H46" s="10">
        <v>976</v>
      </c>
      <c r="I46" s="10">
        <v>0.47</v>
      </c>
      <c r="J46" s="10">
        <v>3.13</v>
      </c>
      <c r="K46" s="10">
        <v>0.31948881789137379</v>
      </c>
      <c r="L46" s="10">
        <f t="shared" si="0"/>
        <v>484</v>
      </c>
      <c r="M46" s="10">
        <f t="shared" si="2"/>
        <v>154.63258785942492</v>
      </c>
      <c r="N46" s="10">
        <f t="shared" si="1"/>
        <v>6.4669421487603303E-3</v>
      </c>
      <c r="O46" s="10">
        <v>20.059999999999999</v>
      </c>
      <c r="P46" s="10">
        <v>416.10788601034699</v>
      </c>
      <c r="Q46" s="10">
        <v>50.600454629345201</v>
      </c>
      <c r="R46" s="10">
        <v>5.4089420126620302</v>
      </c>
    </row>
    <row r="47" spans="1:18" s="10" customFormat="1" x14ac:dyDescent="0.35">
      <c r="A47" s="18">
        <v>46</v>
      </c>
      <c r="B47" s="18">
        <v>20</v>
      </c>
      <c r="C47" s="18">
        <v>31</v>
      </c>
      <c r="D47" s="10" t="s">
        <v>44</v>
      </c>
      <c r="E47" s="10" t="s">
        <v>55</v>
      </c>
      <c r="F47" s="10">
        <v>220</v>
      </c>
      <c r="G47" s="10">
        <v>20.2</v>
      </c>
      <c r="H47" s="10">
        <v>1092</v>
      </c>
      <c r="I47" s="10">
        <v>0.61</v>
      </c>
      <c r="J47" s="10">
        <v>4.5199999999999996</v>
      </c>
      <c r="K47" s="10">
        <v>0.22123893805309741</v>
      </c>
      <c r="L47" s="10">
        <f t="shared" si="0"/>
        <v>484</v>
      </c>
      <c r="M47" s="10">
        <f t="shared" si="2"/>
        <v>107.07964601769915</v>
      </c>
      <c r="N47" s="10">
        <f t="shared" si="1"/>
        <v>9.3388429752066099E-3</v>
      </c>
      <c r="O47" s="10">
        <v>57.64</v>
      </c>
      <c r="P47" s="10">
        <v>416.10788601034699</v>
      </c>
      <c r="Q47" s="10">
        <v>50.6458640419497</v>
      </c>
      <c r="R47" s="10">
        <v>5.6370257671645296</v>
      </c>
    </row>
    <row r="48" spans="1:18" s="10" customFormat="1" x14ac:dyDescent="0.35">
      <c r="A48" s="18">
        <v>47</v>
      </c>
      <c r="B48" s="18">
        <v>36</v>
      </c>
      <c r="C48" s="18">
        <v>31</v>
      </c>
      <c r="D48" s="10" t="s">
        <v>60</v>
      </c>
      <c r="E48" s="10" t="s">
        <v>55</v>
      </c>
      <c r="F48" s="10">
        <v>220</v>
      </c>
      <c r="G48" s="10">
        <v>13.4</v>
      </c>
      <c r="H48" s="10">
        <v>976</v>
      </c>
      <c r="I48" s="10">
        <v>0.77</v>
      </c>
      <c r="J48" s="10">
        <v>5.29</v>
      </c>
      <c r="K48" s="10">
        <v>0.1890359168241966</v>
      </c>
      <c r="L48" s="10">
        <f t="shared" si="0"/>
        <v>484</v>
      </c>
      <c r="M48" s="10">
        <f t="shared" si="2"/>
        <v>91.493383742911149</v>
      </c>
      <c r="N48" s="10">
        <f t="shared" si="1"/>
        <v>1.0929752066115702E-2</v>
      </c>
      <c r="O48" s="10">
        <v>37.4</v>
      </c>
      <c r="P48" s="10">
        <v>371.90594940118928</v>
      </c>
      <c r="Q48" s="10">
        <v>50.609304622309999</v>
      </c>
      <c r="R48" s="10">
        <v>5.5124601193014202</v>
      </c>
    </row>
    <row r="49" spans="1:18" s="10" customFormat="1" x14ac:dyDescent="0.35">
      <c r="A49" s="18">
        <v>48</v>
      </c>
      <c r="B49" s="18">
        <v>25</v>
      </c>
      <c r="C49" s="18">
        <v>31</v>
      </c>
      <c r="D49" s="10" t="s">
        <v>50</v>
      </c>
      <c r="E49" s="10" t="s">
        <v>55</v>
      </c>
      <c r="F49" s="10">
        <v>220</v>
      </c>
      <c r="G49" s="10">
        <v>38</v>
      </c>
      <c r="H49" s="10">
        <v>1063</v>
      </c>
      <c r="I49" s="10">
        <v>3.23</v>
      </c>
      <c r="J49" s="10">
        <v>11.3</v>
      </c>
      <c r="K49" s="10">
        <v>8.8495575221238937E-2</v>
      </c>
      <c r="L49" s="10">
        <f t="shared" si="0"/>
        <v>484</v>
      </c>
      <c r="M49" s="10">
        <f t="shared" si="2"/>
        <v>42.831858407079643</v>
      </c>
      <c r="N49" s="10">
        <f t="shared" si="1"/>
        <v>2.3347107438016532E-2</v>
      </c>
      <c r="O49" s="10">
        <v>124.11</v>
      </c>
      <c r="P49" s="10">
        <v>405.05740185805757</v>
      </c>
      <c r="Q49" s="10">
        <v>50.241800694260697</v>
      </c>
      <c r="R49" s="10">
        <v>5.7318782397385899</v>
      </c>
    </row>
    <row r="50" spans="1:18" s="10" customFormat="1" x14ac:dyDescent="0.35">
      <c r="A50" s="18">
        <v>49</v>
      </c>
      <c r="B50" s="18">
        <v>25</v>
      </c>
      <c r="C50" s="18">
        <v>35</v>
      </c>
      <c r="D50" s="10" t="s">
        <v>50</v>
      </c>
      <c r="E50" s="10" t="s">
        <v>59</v>
      </c>
      <c r="F50" s="10">
        <v>220</v>
      </c>
      <c r="G50" s="10">
        <v>26.8</v>
      </c>
      <c r="H50" s="10">
        <v>1063</v>
      </c>
      <c r="I50" s="10">
        <v>2.2799999999999998</v>
      </c>
      <c r="J50" s="10">
        <v>8.0399999999999991</v>
      </c>
      <c r="K50" s="10">
        <v>0.12437810945273629</v>
      </c>
      <c r="L50" s="10">
        <f t="shared" si="0"/>
        <v>484</v>
      </c>
      <c r="M50" s="10">
        <f t="shared" si="2"/>
        <v>60.199004975124367</v>
      </c>
      <c r="N50" s="10">
        <f t="shared" si="1"/>
        <v>1.6611570247933881E-2</v>
      </c>
      <c r="O50" s="10">
        <v>87.52</v>
      </c>
      <c r="P50" s="10">
        <v>405.05740185805757</v>
      </c>
      <c r="Q50" s="10">
        <v>50.241800694260697</v>
      </c>
      <c r="R50" s="10">
        <v>5.7318782397385899</v>
      </c>
    </row>
    <row r="51" spans="1:18" s="10" customFormat="1" x14ac:dyDescent="0.35">
      <c r="A51" s="18">
        <v>50</v>
      </c>
      <c r="B51" s="18">
        <v>31</v>
      </c>
      <c r="C51" s="18">
        <v>36</v>
      </c>
      <c r="D51" s="10" t="s">
        <v>55</v>
      </c>
      <c r="E51" s="10" t="s">
        <v>60</v>
      </c>
      <c r="F51" s="10">
        <v>220</v>
      </c>
      <c r="G51" s="10">
        <v>11.4</v>
      </c>
      <c r="H51" s="10">
        <v>1037</v>
      </c>
      <c r="I51" s="10">
        <v>0.66</v>
      </c>
      <c r="J51" s="10">
        <v>4.63</v>
      </c>
      <c r="K51" s="10">
        <v>0.21598272138228941</v>
      </c>
      <c r="L51" s="10">
        <f t="shared" si="0"/>
        <v>484</v>
      </c>
      <c r="M51" s="10">
        <f t="shared" si="2"/>
        <v>104.53563714902808</v>
      </c>
      <c r="N51" s="10">
        <f t="shared" si="1"/>
        <v>9.5661157024793386E-3</v>
      </c>
      <c r="O51" s="10">
        <v>31.8</v>
      </c>
      <c r="P51" s="10">
        <v>395.15007123876359</v>
      </c>
      <c r="Q51" s="10">
        <v>50.542188689853901</v>
      </c>
      <c r="R51" s="10">
        <v>5.4701284167100601</v>
      </c>
    </row>
    <row r="52" spans="1:18" s="10" customFormat="1" x14ac:dyDescent="0.35">
      <c r="A52" s="18">
        <v>51</v>
      </c>
      <c r="B52" s="18">
        <v>34</v>
      </c>
      <c r="C52" s="18">
        <v>36</v>
      </c>
      <c r="D52" s="10" t="s">
        <v>58</v>
      </c>
      <c r="E52" s="10" t="s">
        <v>60</v>
      </c>
      <c r="F52" s="10">
        <v>220</v>
      </c>
      <c r="G52" s="10">
        <v>14.3</v>
      </c>
      <c r="H52" s="10">
        <v>1037</v>
      </c>
      <c r="I52" s="10">
        <v>0.83</v>
      </c>
      <c r="J52" s="10">
        <v>5.81</v>
      </c>
      <c r="K52" s="10">
        <v>0.1721170395869191</v>
      </c>
      <c r="L52" s="10">
        <f t="shared" si="0"/>
        <v>484</v>
      </c>
      <c r="M52" s="10">
        <f t="shared" si="2"/>
        <v>83.304647160068839</v>
      </c>
      <c r="N52" s="10">
        <f t="shared" si="1"/>
        <v>1.2004132231404958E-2</v>
      </c>
      <c r="O52" s="10">
        <v>40.200000000000003</v>
      </c>
      <c r="P52" s="10">
        <v>395.15007123876359</v>
      </c>
      <c r="Q52" s="10">
        <v>50.612838626661599</v>
      </c>
      <c r="R52" s="10">
        <v>5.6717828199492599</v>
      </c>
    </row>
    <row r="53" spans="1:18" s="10" customFormat="1" x14ac:dyDescent="0.35">
      <c r="A53" s="18">
        <v>52</v>
      </c>
      <c r="B53" s="18">
        <v>35</v>
      </c>
      <c r="C53" s="18">
        <v>43</v>
      </c>
      <c r="D53" s="10" t="s">
        <v>59</v>
      </c>
      <c r="E53" s="10" t="s">
        <v>68</v>
      </c>
      <c r="F53" s="10">
        <v>220</v>
      </c>
      <c r="G53" s="10">
        <v>2.6</v>
      </c>
      <c r="H53" s="10">
        <v>1063</v>
      </c>
      <c r="I53" s="10">
        <v>0.63</v>
      </c>
      <c r="J53" s="10">
        <v>2.15</v>
      </c>
      <c r="K53" s="10">
        <v>0.46511627906976738</v>
      </c>
      <c r="L53" s="10">
        <f t="shared" si="0"/>
        <v>484</v>
      </c>
      <c r="M53" s="10">
        <f t="shared" si="2"/>
        <v>225.11627906976742</v>
      </c>
      <c r="N53" s="10">
        <f t="shared" si="1"/>
        <v>4.4421487603305779E-3</v>
      </c>
      <c r="O53" s="10">
        <v>8.49</v>
      </c>
      <c r="P53" s="10">
        <v>405.05740185805757</v>
      </c>
      <c r="Q53" s="10">
        <v>50.001530847179602</v>
      </c>
      <c r="R53" s="10">
        <v>5.6627864491565196</v>
      </c>
    </row>
    <row r="54" spans="1:18" s="10" customFormat="1" x14ac:dyDescent="0.35">
      <c r="A54" s="18">
        <v>53</v>
      </c>
      <c r="B54" s="18">
        <v>34</v>
      </c>
      <c r="C54" s="18">
        <v>20</v>
      </c>
      <c r="D54" s="10" t="s">
        <v>58</v>
      </c>
      <c r="E54" s="10" t="s">
        <v>44</v>
      </c>
      <c r="F54" s="10">
        <v>220</v>
      </c>
      <c r="G54" s="10">
        <v>10</v>
      </c>
      <c r="H54" s="10">
        <v>1000</v>
      </c>
      <c r="I54" s="10">
        <v>0.6</v>
      </c>
      <c r="J54" s="10">
        <v>4</v>
      </c>
      <c r="K54" s="10">
        <v>0.25</v>
      </c>
      <c r="L54" s="10">
        <f t="shared" si="0"/>
        <v>484</v>
      </c>
      <c r="M54" s="10">
        <f t="shared" si="2"/>
        <v>121</v>
      </c>
      <c r="N54" s="10">
        <f t="shared" si="1"/>
        <v>8.2644628099173556E-3</v>
      </c>
      <c r="O54" s="10">
        <v>0</v>
      </c>
      <c r="P54" s="10">
        <v>381.05117766515298</v>
      </c>
      <c r="Q54" s="10">
        <v>50.612838626661599</v>
      </c>
      <c r="R54" s="10">
        <v>5.6717828199492599</v>
      </c>
    </row>
    <row r="55" spans="1:18" s="4" customFormat="1" x14ac:dyDescent="0.35">
      <c r="A55" s="19">
        <v>54</v>
      </c>
      <c r="B55" s="19">
        <v>20</v>
      </c>
      <c r="C55" s="19">
        <v>6</v>
      </c>
      <c r="D55" s="4" t="s">
        <v>44</v>
      </c>
      <c r="E55" s="4" t="s">
        <v>26</v>
      </c>
      <c r="F55" s="4">
        <v>220</v>
      </c>
      <c r="G55" s="4">
        <v>30</v>
      </c>
      <c r="H55" s="4">
        <v>2000</v>
      </c>
      <c r="I55" s="4">
        <v>0.89999999999999503</v>
      </c>
      <c r="J55" s="4">
        <v>6</v>
      </c>
      <c r="K55" s="4">
        <v>0.16666666666666671</v>
      </c>
      <c r="L55" s="4">
        <f t="shared" si="0"/>
        <v>484</v>
      </c>
      <c r="M55" s="4">
        <f t="shared" si="2"/>
        <v>80.666666666666686</v>
      </c>
      <c r="N55" s="4">
        <f t="shared" si="1"/>
        <v>1.2396694214876033E-2</v>
      </c>
      <c r="O55" s="4">
        <v>0</v>
      </c>
      <c r="P55" s="4">
        <v>762.10235533030595</v>
      </c>
      <c r="Q55" s="4">
        <v>50.6458640419497</v>
      </c>
      <c r="R55" s="4">
        <v>5.6370257671645296</v>
      </c>
    </row>
    <row r="56" spans="1:18" s="4" customFormat="1" x14ac:dyDescent="0.35">
      <c r="A56" s="19">
        <v>55</v>
      </c>
      <c r="B56" s="19">
        <v>6</v>
      </c>
      <c r="C56" s="19">
        <v>22</v>
      </c>
      <c r="D56" s="4" t="s">
        <v>26</v>
      </c>
      <c r="E56" s="4" t="s">
        <v>47</v>
      </c>
      <c r="F56" s="4">
        <v>220</v>
      </c>
      <c r="G56" s="4">
        <v>10</v>
      </c>
      <c r="H56" s="4">
        <v>2000</v>
      </c>
      <c r="I56" s="4">
        <v>0.3</v>
      </c>
      <c r="J56" s="4">
        <v>2</v>
      </c>
      <c r="K56" s="4">
        <v>0.5</v>
      </c>
      <c r="L56" s="4">
        <f t="shared" si="0"/>
        <v>484</v>
      </c>
      <c r="M56" s="4">
        <f t="shared" si="2"/>
        <v>242</v>
      </c>
      <c r="N56" s="4">
        <f t="shared" si="1"/>
        <v>4.1322314049586778E-3</v>
      </c>
      <c r="O56" s="4">
        <v>0</v>
      </c>
      <c r="P56" s="4">
        <v>762.10235533030595</v>
      </c>
      <c r="Q56" s="4">
        <v>50.743243009684299</v>
      </c>
      <c r="R56" s="4">
        <v>5.7313142080014297</v>
      </c>
    </row>
    <row r="57" spans="1:18" s="4" customFormat="1" x14ac:dyDescent="0.35">
      <c r="A57" s="19">
        <v>56</v>
      </c>
      <c r="B57" s="19">
        <v>3</v>
      </c>
      <c r="C57" s="19">
        <v>2</v>
      </c>
      <c r="D57" s="4" t="s">
        <v>22</v>
      </c>
      <c r="E57" s="4" t="s">
        <v>20</v>
      </c>
      <c r="F57" s="21" t="s">
        <v>85</v>
      </c>
      <c r="G57" s="21" t="s">
        <v>19</v>
      </c>
      <c r="H57" s="21" t="s">
        <v>19</v>
      </c>
      <c r="I57" s="4">
        <v>0</v>
      </c>
      <c r="J57" s="4">
        <v>40.662732240437158</v>
      </c>
      <c r="K57" s="4">
        <v>2.4592543218371031E-2</v>
      </c>
      <c r="L57" s="4">
        <v>1444</v>
      </c>
      <c r="M57" s="4">
        <f t="shared" si="2"/>
        <v>35.511632407327767</v>
      </c>
      <c r="N57" s="4">
        <f t="shared" si="1"/>
        <v>2.8159786870108835E-2</v>
      </c>
      <c r="O57" s="4">
        <v>0</v>
      </c>
      <c r="P57" s="4">
        <v>600</v>
      </c>
      <c r="Q57" s="4">
        <v>49.563837674746701</v>
      </c>
      <c r="R57" s="4">
        <v>5.7992758711646104</v>
      </c>
    </row>
    <row r="58" spans="1:18" s="4" customFormat="1" x14ac:dyDescent="0.35">
      <c r="A58" s="19">
        <v>57</v>
      </c>
      <c r="B58" s="19">
        <v>23</v>
      </c>
      <c r="C58" s="19">
        <v>22</v>
      </c>
      <c r="D58" s="4" t="s">
        <v>48</v>
      </c>
      <c r="E58" s="4" t="s">
        <v>47</v>
      </c>
      <c r="F58" s="21" t="s">
        <v>85</v>
      </c>
      <c r="G58" s="21" t="s">
        <v>19</v>
      </c>
      <c r="H58" s="21" t="s">
        <v>19</v>
      </c>
      <c r="I58" s="4">
        <v>0</v>
      </c>
      <c r="J58" s="4">
        <v>38.933333333333337</v>
      </c>
      <c r="K58" s="4">
        <v>2.568493150684931E-2</v>
      </c>
      <c r="L58" s="4">
        <v>1444</v>
      </c>
      <c r="M58" s="4">
        <f t="shared" si="2"/>
        <v>37.089041095890401</v>
      </c>
      <c r="N58" s="4">
        <f t="shared" si="1"/>
        <v>2.6962142197599265E-2</v>
      </c>
      <c r="O58" s="4">
        <v>0</v>
      </c>
      <c r="P58" s="4">
        <v>600</v>
      </c>
      <c r="Q58" s="4">
        <v>50.757772036836997</v>
      </c>
      <c r="R58" s="4">
        <v>5.6814758674481398</v>
      </c>
    </row>
    <row r="59" spans="1:18" s="4" customFormat="1" x14ac:dyDescent="0.35">
      <c r="A59" s="19">
        <v>58</v>
      </c>
      <c r="B59" s="19">
        <v>32</v>
      </c>
      <c r="C59" s="19">
        <v>31</v>
      </c>
      <c r="D59" s="4" t="s">
        <v>56</v>
      </c>
      <c r="E59" s="4" t="s">
        <v>55</v>
      </c>
      <c r="F59" s="21" t="s">
        <v>85</v>
      </c>
      <c r="G59" s="21" t="s">
        <v>19</v>
      </c>
      <c r="H59" s="21" t="s">
        <v>19</v>
      </c>
      <c r="I59" s="4">
        <v>0</v>
      </c>
      <c r="J59" s="4">
        <v>38.933333333333337</v>
      </c>
      <c r="K59" s="4">
        <v>2.568493150684931E-2</v>
      </c>
      <c r="L59" s="4">
        <v>1444</v>
      </c>
      <c r="M59" s="4">
        <f t="shared" si="2"/>
        <v>37.089041095890401</v>
      </c>
      <c r="N59" s="4">
        <f t="shared" si="1"/>
        <v>2.6962142197599265E-2</v>
      </c>
      <c r="O59" s="4">
        <v>0</v>
      </c>
      <c r="P59" s="4">
        <v>600</v>
      </c>
      <c r="Q59" s="4">
        <v>50.542188689853901</v>
      </c>
      <c r="R59" s="4">
        <v>5.4701284167100601</v>
      </c>
    </row>
    <row r="60" spans="1:18" s="10" customFormat="1" x14ac:dyDescent="0.35">
      <c r="A60" s="18">
        <v>59</v>
      </c>
      <c r="B60" s="18">
        <v>32</v>
      </c>
      <c r="C60" s="18">
        <v>31</v>
      </c>
      <c r="D60" s="10" t="s">
        <v>56</v>
      </c>
      <c r="E60" s="10" t="s">
        <v>55</v>
      </c>
      <c r="F60" s="22" t="s">
        <v>85</v>
      </c>
      <c r="G60" s="22" t="s">
        <v>19</v>
      </c>
      <c r="H60" s="22" t="s">
        <v>19</v>
      </c>
      <c r="I60" s="10">
        <v>0</v>
      </c>
      <c r="J60" s="10">
        <v>77.866666666666674</v>
      </c>
      <c r="K60" s="10">
        <v>1.284246575342466E-2</v>
      </c>
      <c r="L60" s="10">
        <v>1444</v>
      </c>
      <c r="M60" s="10">
        <f t="shared" si="2"/>
        <v>18.544520547945208</v>
      </c>
      <c r="N60" s="10">
        <f t="shared" si="1"/>
        <v>5.392428439519853E-2</v>
      </c>
      <c r="O60" s="10">
        <v>0</v>
      </c>
      <c r="P60" s="10">
        <v>300</v>
      </c>
      <c r="Q60" s="10">
        <v>50.542188689853901</v>
      </c>
      <c r="R60" s="10">
        <v>5.4701284167100601</v>
      </c>
    </row>
    <row r="61" spans="1:18" s="4" customFormat="1" x14ac:dyDescent="0.35">
      <c r="A61" s="19">
        <v>60</v>
      </c>
      <c r="B61" s="19">
        <v>15</v>
      </c>
      <c r="C61" s="19">
        <v>37</v>
      </c>
      <c r="D61" s="4" t="s">
        <v>39</v>
      </c>
      <c r="E61" s="4" t="s">
        <v>61</v>
      </c>
      <c r="F61" s="4">
        <v>380</v>
      </c>
      <c r="G61" s="4">
        <v>18</v>
      </c>
      <c r="H61" s="4">
        <v>4372</v>
      </c>
      <c r="I61" s="4">
        <v>0.2772511848341232</v>
      </c>
      <c r="J61" s="4">
        <v>2.9516587677725119</v>
      </c>
      <c r="K61" s="4">
        <v>0.33879254977520867</v>
      </c>
      <c r="L61" s="4">
        <f t="shared" si="0"/>
        <v>1444</v>
      </c>
      <c r="M61" s="4">
        <f t="shared" si="2"/>
        <v>489.2164418754013</v>
      </c>
      <c r="N61" s="4">
        <f t="shared" si="1"/>
        <v>2.0440850192330415E-3</v>
      </c>
      <c r="O61" s="4">
        <v>125.91469194312791</v>
      </c>
      <c r="P61" s="4">
        <v>3000</v>
      </c>
      <c r="Q61" s="4">
        <v>51.2876667708288</v>
      </c>
      <c r="R61" s="4">
        <v>3.1884903398949098</v>
      </c>
    </row>
    <row r="62" spans="1:18" s="4" customFormat="1" x14ac:dyDescent="0.35">
      <c r="A62" s="19">
        <v>61</v>
      </c>
      <c r="B62" s="19">
        <v>15</v>
      </c>
      <c r="C62" s="19">
        <v>37</v>
      </c>
      <c r="D62" s="4" t="s">
        <v>39</v>
      </c>
      <c r="E62" s="4" t="s">
        <v>61</v>
      </c>
      <c r="F62" s="4">
        <v>380</v>
      </c>
      <c r="G62" s="4">
        <v>18</v>
      </c>
      <c r="H62" s="4">
        <v>4372</v>
      </c>
      <c r="I62" s="4">
        <v>0.2772511848341232</v>
      </c>
      <c r="J62" s="4">
        <v>2.9516587677725119</v>
      </c>
      <c r="K62" s="4">
        <v>0.33879254977520867</v>
      </c>
      <c r="L62" s="4">
        <f t="shared" si="0"/>
        <v>1444</v>
      </c>
      <c r="M62" s="4">
        <f t="shared" si="2"/>
        <v>489.2164418754013</v>
      </c>
      <c r="N62" s="4">
        <f t="shared" si="1"/>
        <v>2.0440850192330415E-3</v>
      </c>
      <c r="O62" s="4">
        <v>125.91469194312791</v>
      </c>
      <c r="P62" s="4">
        <v>3000</v>
      </c>
      <c r="Q62" s="4">
        <v>51.2876667708288</v>
      </c>
      <c r="R62" s="4">
        <v>3.1884903398949098</v>
      </c>
    </row>
    <row r="63" spans="1:18" s="4" customFormat="1" x14ac:dyDescent="0.35">
      <c r="A63" s="19">
        <v>62</v>
      </c>
      <c r="B63" s="19">
        <v>37</v>
      </c>
      <c r="C63" s="19">
        <v>19</v>
      </c>
      <c r="D63" s="4" t="s">
        <v>61</v>
      </c>
      <c r="E63" s="4" t="s">
        <v>43</v>
      </c>
      <c r="F63" s="4">
        <v>380</v>
      </c>
      <c r="G63" s="4">
        <v>20</v>
      </c>
      <c r="H63" s="4">
        <v>4372</v>
      </c>
      <c r="I63" s="4">
        <v>0.30805687203791471</v>
      </c>
      <c r="J63" s="4">
        <v>3.2796208530805688</v>
      </c>
      <c r="K63" s="4">
        <v>0.30491329479768792</v>
      </c>
      <c r="L63" s="4">
        <f t="shared" si="0"/>
        <v>1444</v>
      </c>
      <c r="M63" s="4">
        <f t="shared" si="2"/>
        <v>440.29479768786138</v>
      </c>
      <c r="N63" s="4">
        <f t="shared" si="1"/>
        <v>2.2712055769256016E-3</v>
      </c>
      <c r="O63" s="4">
        <v>139.90521327014221</v>
      </c>
      <c r="P63" s="4">
        <v>3000</v>
      </c>
      <c r="Q63" s="4">
        <v>51.220756533185003</v>
      </c>
      <c r="R63" s="4">
        <v>2.9579922525799001</v>
      </c>
    </row>
    <row r="64" spans="1:18" s="4" customFormat="1" x14ac:dyDescent="0.35">
      <c r="A64" s="19">
        <v>63</v>
      </c>
      <c r="B64" s="19">
        <v>37</v>
      </c>
      <c r="C64" s="19">
        <v>19</v>
      </c>
      <c r="D64" s="4" t="s">
        <v>61</v>
      </c>
      <c r="E64" s="4" t="s">
        <v>43</v>
      </c>
      <c r="F64" s="4">
        <v>380</v>
      </c>
      <c r="G64" s="4">
        <v>20</v>
      </c>
      <c r="H64" s="4">
        <v>4372</v>
      </c>
      <c r="I64" s="4">
        <v>0.30805687203791471</v>
      </c>
      <c r="J64" s="4">
        <v>3.2796208530805688</v>
      </c>
      <c r="K64" s="4">
        <v>0.30491329479768792</v>
      </c>
      <c r="L64" s="4">
        <f t="shared" si="0"/>
        <v>1444</v>
      </c>
      <c r="M64" s="4">
        <f t="shared" si="2"/>
        <v>440.29479768786138</v>
      </c>
      <c r="N64" s="4">
        <f t="shared" si="1"/>
        <v>2.2712055769256016E-3</v>
      </c>
      <c r="O64" s="4">
        <v>139.90521327014221</v>
      </c>
      <c r="P64" s="4">
        <v>3000</v>
      </c>
      <c r="Q64" s="4">
        <v>51.220756533185003</v>
      </c>
      <c r="R64" s="4">
        <v>2.9579922525799001</v>
      </c>
    </row>
    <row r="65" spans="1:18" s="4" customFormat="1" x14ac:dyDescent="0.35">
      <c r="A65" s="19">
        <v>64</v>
      </c>
      <c r="B65" s="19">
        <v>4</v>
      </c>
      <c r="C65" s="19">
        <v>12</v>
      </c>
      <c r="D65" s="4" t="s">
        <v>23</v>
      </c>
      <c r="E65" s="4" t="s">
        <v>35</v>
      </c>
      <c r="F65" s="4">
        <v>380</v>
      </c>
      <c r="G65" s="4">
        <v>84.8</v>
      </c>
      <c r="H65" s="4">
        <v>4372</v>
      </c>
      <c r="I65" s="4">
        <v>1.306161137440758</v>
      </c>
      <c r="J65" s="4">
        <v>13.905592417061611</v>
      </c>
      <c r="K65" s="4">
        <v>7.1913512923982986E-2</v>
      </c>
      <c r="L65" s="4">
        <f t="shared" si="0"/>
        <v>1444</v>
      </c>
      <c r="M65" s="4">
        <f t="shared" si="2"/>
        <v>103.84311266223143</v>
      </c>
      <c r="N65" s="4">
        <f t="shared" si="1"/>
        <v>9.6299116461645504E-3</v>
      </c>
      <c r="O65" s="4">
        <v>593.19810426540278</v>
      </c>
      <c r="P65" s="4">
        <v>3000</v>
      </c>
      <c r="Q65" s="4">
        <v>50.774131414375503</v>
      </c>
      <c r="R65" s="4">
        <v>3.4453157895245101</v>
      </c>
    </row>
    <row r="66" spans="1:18" s="4" customFormat="1" x14ac:dyDescent="0.35">
      <c r="A66" s="19">
        <v>65</v>
      </c>
      <c r="B66" s="19">
        <v>4</v>
      </c>
      <c r="C66" s="19">
        <v>12</v>
      </c>
      <c r="D66" s="4" t="s">
        <v>23</v>
      </c>
      <c r="E66" s="4" t="s">
        <v>35</v>
      </c>
      <c r="F66" s="4">
        <v>380</v>
      </c>
      <c r="G66" s="4">
        <v>84.8</v>
      </c>
      <c r="H66" s="4">
        <v>4372</v>
      </c>
      <c r="I66" s="4">
        <v>1.306161137440758</v>
      </c>
      <c r="J66" s="4">
        <v>13.905592417061611</v>
      </c>
      <c r="K66" s="4">
        <v>7.1913512923982986E-2</v>
      </c>
      <c r="L66" s="4">
        <f t="shared" si="0"/>
        <v>1444</v>
      </c>
      <c r="M66" s="4">
        <f t="shared" si="2"/>
        <v>103.84311266223143</v>
      </c>
      <c r="N66" s="4">
        <f t="shared" si="1"/>
        <v>9.6299116461645504E-3</v>
      </c>
      <c r="O66" s="4">
        <v>593.19810426540278</v>
      </c>
      <c r="P66" s="4">
        <v>3000</v>
      </c>
      <c r="Q66" s="4">
        <v>50.774131414375503</v>
      </c>
      <c r="R66" s="4">
        <v>3.4453157895245101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5"/>
  <sheetViews>
    <sheetView zoomScaleNormal="100" workbookViewId="0">
      <pane ySplit="1" topLeftCell="A2" activePane="bottomLeft" state="frozen"/>
      <selection pane="bottomLeft" activeCell="H33" sqref="H33"/>
    </sheetView>
  </sheetViews>
  <sheetFormatPr baseColWidth="10" defaultColWidth="11.54296875" defaultRowHeight="14.5" x14ac:dyDescent="0.35"/>
  <cols>
    <col min="1" max="1" width="12.81640625" style="11" bestFit="1" customWidth="1"/>
    <col min="2" max="2" width="26.81640625" style="11" bestFit="1" customWidth="1"/>
    <col min="3" max="3" width="13.81640625" style="11" customWidth="1"/>
    <col min="4" max="4" width="10" style="11" customWidth="1"/>
    <col min="5" max="5" width="13.453125" style="11" customWidth="1"/>
    <col min="6" max="6" width="12.1796875" style="11" bestFit="1" customWidth="1"/>
    <col min="7" max="7" width="14.7265625" style="11" bestFit="1" customWidth="1"/>
    <col min="8" max="8" width="13.36328125" style="11" bestFit="1" customWidth="1"/>
    <col min="9" max="9" width="10" style="11" bestFit="1" customWidth="1"/>
    <col min="10" max="10" width="12.90625" style="11" customWidth="1"/>
    <col min="11" max="11" width="11.54296875" style="11" customWidth="1"/>
    <col min="12" max="12" width="15.08984375" style="11" bestFit="1" customWidth="1"/>
    <col min="13" max="13" width="23.1796875" style="11" bestFit="1" customWidth="1"/>
    <col min="14" max="14" width="11.54296875" style="11" customWidth="1"/>
    <col min="15" max="16384" width="11.54296875" style="11"/>
  </cols>
  <sheetData>
    <row r="1" spans="1:14" x14ac:dyDescent="0.35">
      <c r="A1" s="14" t="s">
        <v>86</v>
      </c>
      <c r="B1" s="14" t="s">
        <v>7</v>
      </c>
      <c r="C1" s="15" t="s">
        <v>143</v>
      </c>
      <c r="D1" s="15" t="s">
        <v>6</v>
      </c>
      <c r="E1" s="15" t="s">
        <v>184</v>
      </c>
      <c r="F1" s="15" t="s">
        <v>87</v>
      </c>
      <c r="G1" s="14" t="s">
        <v>82</v>
      </c>
      <c r="H1" s="14" t="s">
        <v>9</v>
      </c>
      <c r="I1" s="14" t="s">
        <v>88</v>
      </c>
      <c r="J1" s="14" t="s">
        <v>186</v>
      </c>
      <c r="K1" s="14" t="s">
        <v>89</v>
      </c>
      <c r="L1" s="14" t="s">
        <v>90</v>
      </c>
      <c r="M1" s="14" t="s">
        <v>91</v>
      </c>
      <c r="N1" s="14" t="s">
        <v>187</v>
      </c>
    </row>
    <row r="2" spans="1:14" s="24" customFormat="1" x14ac:dyDescent="0.35">
      <c r="A2" s="24">
        <v>1</v>
      </c>
      <c r="B2" s="26" t="s">
        <v>183</v>
      </c>
      <c r="C2" s="24" t="s">
        <v>67</v>
      </c>
      <c r="D2" s="24">
        <v>42</v>
      </c>
      <c r="E2" s="24">
        <v>13</v>
      </c>
      <c r="F2" s="24">
        <v>0</v>
      </c>
      <c r="G2" s="24">
        <v>360</v>
      </c>
      <c r="H2" s="24" t="s">
        <v>92</v>
      </c>
      <c r="I2" s="24" t="s">
        <v>93</v>
      </c>
      <c r="J2" s="24">
        <v>0.5</v>
      </c>
      <c r="K2" s="24">
        <v>0.52</v>
      </c>
      <c r="L2" s="24">
        <v>2</v>
      </c>
      <c r="M2" s="24">
        <v>0</v>
      </c>
      <c r="N2" s="24">
        <v>2001</v>
      </c>
    </row>
    <row r="3" spans="1:14" s="23" customFormat="1" x14ac:dyDescent="0.35">
      <c r="A3" s="23">
        <v>2</v>
      </c>
      <c r="B3" s="23" t="s">
        <v>107</v>
      </c>
      <c r="C3" s="23" t="s">
        <v>28</v>
      </c>
      <c r="D3" s="23">
        <v>7</v>
      </c>
      <c r="E3" s="23">
        <v>24</v>
      </c>
      <c r="F3" s="23">
        <v>0</v>
      </c>
      <c r="G3" s="23">
        <v>48</v>
      </c>
      <c r="H3" s="23" t="s">
        <v>102</v>
      </c>
      <c r="I3" s="23" t="s">
        <v>93</v>
      </c>
      <c r="J3" s="23">
        <v>0.5</v>
      </c>
      <c r="K3" s="23">
        <v>0.45</v>
      </c>
      <c r="L3" s="23">
        <v>3.3</v>
      </c>
      <c r="M3" s="23">
        <v>0</v>
      </c>
      <c r="N3" s="23">
        <v>2000</v>
      </c>
    </row>
    <row r="4" spans="1:14" s="24" customFormat="1" x14ac:dyDescent="0.35">
      <c r="A4" s="24">
        <v>3</v>
      </c>
      <c r="B4" s="24" t="s">
        <v>138</v>
      </c>
      <c r="C4" s="24" t="s">
        <v>37</v>
      </c>
      <c r="D4" s="24">
        <v>13</v>
      </c>
      <c r="E4" s="24" t="s">
        <v>185</v>
      </c>
      <c r="F4" s="24">
        <v>0</v>
      </c>
      <c r="G4" s="24">
        <f>1039+445+445</f>
        <v>1929</v>
      </c>
      <c r="H4" s="24" t="s">
        <v>96</v>
      </c>
      <c r="I4" s="24" t="s">
        <v>97</v>
      </c>
      <c r="J4" s="24">
        <v>0.1</v>
      </c>
      <c r="K4" s="24">
        <v>0.33</v>
      </c>
      <c r="L4" s="24">
        <v>9</v>
      </c>
      <c r="M4" s="24">
        <v>1.87</v>
      </c>
    </row>
    <row r="5" spans="1:14" s="23" customFormat="1" x14ac:dyDescent="0.35">
      <c r="A5" s="23">
        <v>4</v>
      </c>
      <c r="B5" s="23" t="s">
        <v>126</v>
      </c>
      <c r="C5" s="23" t="s">
        <v>39</v>
      </c>
      <c r="D5" s="23">
        <v>15</v>
      </c>
      <c r="E5" s="23">
        <v>2</v>
      </c>
      <c r="F5" s="23">
        <v>0</v>
      </c>
      <c r="G5" s="23">
        <v>480.3</v>
      </c>
      <c r="H5" s="23" t="s">
        <v>92</v>
      </c>
      <c r="I5" s="23" t="s">
        <v>93</v>
      </c>
      <c r="J5" s="23">
        <v>0.5</v>
      </c>
      <c r="K5" s="23">
        <v>0.51</v>
      </c>
      <c r="L5" s="23">
        <v>2</v>
      </c>
      <c r="M5" s="23">
        <v>0</v>
      </c>
      <c r="N5" s="23">
        <v>1998</v>
      </c>
    </row>
    <row r="6" spans="1:14" s="24" customFormat="1" x14ac:dyDescent="0.35">
      <c r="A6" s="24">
        <v>5</v>
      </c>
      <c r="B6" s="24" t="s">
        <v>101</v>
      </c>
      <c r="C6" s="24" t="s">
        <v>39</v>
      </c>
      <c r="D6" s="24">
        <v>15</v>
      </c>
      <c r="E6" s="24">
        <v>2</v>
      </c>
      <c r="F6" s="24">
        <v>0</v>
      </c>
      <c r="G6" s="24">
        <v>40</v>
      </c>
      <c r="H6" s="24" t="s">
        <v>94</v>
      </c>
      <c r="I6" s="24" t="s">
        <v>93</v>
      </c>
      <c r="J6" s="24">
        <v>0.5</v>
      </c>
      <c r="K6" s="24">
        <v>0.45</v>
      </c>
      <c r="L6" s="24">
        <v>15</v>
      </c>
      <c r="M6" s="24">
        <v>0</v>
      </c>
      <c r="N6" s="24">
        <v>1987</v>
      </c>
    </row>
    <row r="7" spans="1:14" s="23" customFormat="1" x14ac:dyDescent="0.35">
      <c r="A7" s="23">
        <v>6</v>
      </c>
      <c r="B7" s="23" t="s">
        <v>127</v>
      </c>
      <c r="C7" s="23" t="s">
        <v>40</v>
      </c>
      <c r="D7" s="23">
        <v>16</v>
      </c>
      <c r="E7" s="23">
        <v>27</v>
      </c>
      <c r="F7" s="23">
        <v>0</v>
      </c>
      <c r="G7" s="23">
        <v>1242</v>
      </c>
      <c r="H7" s="23" t="s">
        <v>99</v>
      </c>
      <c r="I7" s="23" t="s">
        <v>93</v>
      </c>
      <c r="J7" s="23">
        <v>0.5</v>
      </c>
      <c r="K7" s="23">
        <v>0.54</v>
      </c>
      <c r="L7" s="23">
        <v>2</v>
      </c>
      <c r="M7" s="23">
        <v>0</v>
      </c>
      <c r="N7" s="23">
        <v>2001</v>
      </c>
    </row>
    <row r="8" spans="1:14" s="24" customFormat="1" x14ac:dyDescent="0.35">
      <c r="A8" s="24">
        <v>7</v>
      </c>
      <c r="B8" s="24" t="s">
        <v>105</v>
      </c>
      <c r="C8" s="24" t="s">
        <v>43</v>
      </c>
      <c r="D8" s="24">
        <v>19</v>
      </c>
      <c r="E8" s="24">
        <v>3</v>
      </c>
      <c r="F8" s="24">
        <v>0</v>
      </c>
      <c r="G8" s="24">
        <v>20</v>
      </c>
      <c r="H8" s="24" t="s">
        <v>95</v>
      </c>
      <c r="I8" s="24" t="s">
        <v>93</v>
      </c>
      <c r="J8" s="24">
        <v>0.5</v>
      </c>
      <c r="K8" s="24">
        <v>0.34</v>
      </c>
      <c r="L8" s="24">
        <v>15</v>
      </c>
      <c r="M8" s="24">
        <v>0</v>
      </c>
      <c r="N8" s="24">
        <v>1995</v>
      </c>
    </row>
    <row r="9" spans="1:14" s="24" customFormat="1" x14ac:dyDescent="0.35">
      <c r="A9" s="24">
        <v>8</v>
      </c>
      <c r="B9" s="24" t="s">
        <v>108</v>
      </c>
      <c r="C9" s="24" t="s">
        <v>52</v>
      </c>
      <c r="D9" s="24">
        <v>27</v>
      </c>
      <c r="E9" s="24">
        <v>11</v>
      </c>
      <c r="F9" s="24">
        <v>0</v>
      </c>
      <c r="G9" s="24">
        <v>425</v>
      </c>
      <c r="H9" s="24" t="s">
        <v>99</v>
      </c>
      <c r="I9" s="24" t="s">
        <v>93</v>
      </c>
      <c r="J9" s="24">
        <v>1</v>
      </c>
      <c r="K9" s="24">
        <v>0.57999999999999996</v>
      </c>
      <c r="L9" s="24">
        <v>2</v>
      </c>
      <c r="M9" s="24">
        <v>0</v>
      </c>
      <c r="N9" s="24">
        <v>2011</v>
      </c>
    </row>
    <row r="10" spans="1:14" s="23" customFormat="1" x14ac:dyDescent="0.35">
      <c r="A10" s="23">
        <v>9</v>
      </c>
      <c r="B10" s="23" t="s">
        <v>128</v>
      </c>
      <c r="C10" s="23" t="s">
        <v>53</v>
      </c>
      <c r="D10" s="23">
        <v>28</v>
      </c>
      <c r="E10" s="23">
        <v>24</v>
      </c>
      <c r="F10" s="23">
        <v>0</v>
      </c>
      <c r="G10" s="23">
        <v>460</v>
      </c>
      <c r="H10" s="23" t="s">
        <v>92</v>
      </c>
      <c r="I10" s="23" t="s">
        <v>93</v>
      </c>
      <c r="J10" s="23">
        <v>0.5</v>
      </c>
      <c r="K10" s="23">
        <v>0.52</v>
      </c>
      <c r="L10" s="23">
        <v>2</v>
      </c>
      <c r="M10" s="23">
        <v>0</v>
      </c>
      <c r="N10" s="23">
        <v>1993</v>
      </c>
    </row>
    <row r="11" spans="1:14" s="23" customFormat="1" x14ac:dyDescent="0.35">
      <c r="A11" s="23">
        <v>10</v>
      </c>
      <c r="B11" s="23" t="s">
        <v>134</v>
      </c>
      <c r="C11" s="23" t="s">
        <v>5</v>
      </c>
      <c r="D11" s="23">
        <v>29</v>
      </c>
      <c r="E11" s="23">
        <v>8</v>
      </c>
      <c r="F11" s="23">
        <v>0</v>
      </c>
      <c r="G11" s="23">
        <v>172</v>
      </c>
      <c r="H11" s="23" t="s">
        <v>95</v>
      </c>
      <c r="I11" s="23" t="s">
        <v>93</v>
      </c>
      <c r="J11" s="23">
        <v>0.6</v>
      </c>
      <c r="K11" s="23">
        <v>0.45</v>
      </c>
      <c r="L11" s="23">
        <v>3.3</v>
      </c>
      <c r="M11" s="23">
        <v>0</v>
      </c>
      <c r="N11" s="23">
        <v>2009</v>
      </c>
    </row>
    <row r="12" spans="1:14" s="23" customFormat="1" x14ac:dyDescent="0.35">
      <c r="A12" s="23">
        <v>11</v>
      </c>
      <c r="B12" s="23" t="s">
        <v>135</v>
      </c>
      <c r="C12" s="23" t="s">
        <v>5</v>
      </c>
      <c r="D12" s="23">
        <v>29</v>
      </c>
      <c r="E12" s="23">
        <v>8</v>
      </c>
      <c r="F12" s="23">
        <v>0</v>
      </c>
      <c r="G12" s="23">
        <v>90</v>
      </c>
      <c r="H12" s="23" t="s">
        <v>102</v>
      </c>
      <c r="I12" s="23" t="s">
        <v>93</v>
      </c>
      <c r="J12" s="23">
        <v>0.6</v>
      </c>
      <c r="K12" s="23">
        <v>0.57999999999999996</v>
      </c>
      <c r="L12" s="23">
        <v>8</v>
      </c>
      <c r="M12" s="23">
        <v>0</v>
      </c>
      <c r="N12" s="23">
        <v>2008</v>
      </c>
    </row>
    <row r="13" spans="1:14" s="23" customFormat="1" x14ac:dyDescent="0.35">
      <c r="A13" s="23">
        <v>12</v>
      </c>
      <c r="B13" s="23" t="s">
        <v>136</v>
      </c>
      <c r="C13" s="23" t="s">
        <v>5</v>
      </c>
      <c r="D13" s="23">
        <v>29</v>
      </c>
      <c r="E13" s="23">
        <v>8</v>
      </c>
      <c r="F13" s="23">
        <v>0</v>
      </c>
      <c r="G13" s="23">
        <v>143</v>
      </c>
      <c r="H13" s="23" t="s">
        <v>102</v>
      </c>
      <c r="I13" s="23" t="s">
        <v>93</v>
      </c>
      <c r="J13" s="23">
        <v>1</v>
      </c>
      <c r="K13" s="23">
        <v>0.45</v>
      </c>
      <c r="L13" s="23">
        <v>3.3</v>
      </c>
      <c r="M13" s="23">
        <v>0</v>
      </c>
      <c r="N13" s="23">
        <v>2010</v>
      </c>
    </row>
    <row r="14" spans="1:14" s="24" customFormat="1" x14ac:dyDescent="0.35">
      <c r="A14" s="24">
        <v>13</v>
      </c>
      <c r="B14" s="24" t="s">
        <v>103</v>
      </c>
      <c r="C14" s="24" t="s">
        <v>5</v>
      </c>
      <c r="D14" s="24">
        <v>29</v>
      </c>
      <c r="E14" s="24">
        <v>8</v>
      </c>
      <c r="F14" s="24">
        <v>0</v>
      </c>
      <c r="G14" s="24">
        <v>49</v>
      </c>
      <c r="H14" s="24" t="s">
        <v>104</v>
      </c>
      <c r="I14" s="24" t="s">
        <v>93</v>
      </c>
      <c r="J14" s="24">
        <v>0.6</v>
      </c>
      <c r="K14" s="24">
        <v>0.45</v>
      </c>
      <c r="L14" s="24">
        <v>8</v>
      </c>
      <c r="M14" s="24">
        <v>0</v>
      </c>
      <c r="N14" s="24">
        <v>2008</v>
      </c>
    </row>
    <row r="15" spans="1:14" s="23" customFormat="1" x14ac:dyDescent="0.35">
      <c r="A15" s="23">
        <v>14</v>
      </c>
      <c r="B15" s="23" t="s">
        <v>129</v>
      </c>
      <c r="C15" s="23" t="s">
        <v>5</v>
      </c>
      <c r="D15" s="23">
        <v>29</v>
      </c>
      <c r="E15" s="23">
        <v>8</v>
      </c>
      <c r="F15" s="23">
        <v>0</v>
      </c>
      <c r="G15" s="23">
        <v>240</v>
      </c>
      <c r="H15" s="23" t="s">
        <v>94</v>
      </c>
      <c r="I15" s="23" t="s">
        <v>93</v>
      </c>
      <c r="J15" s="23">
        <v>0.6</v>
      </c>
      <c r="K15" s="23">
        <v>0.45</v>
      </c>
      <c r="L15" s="23">
        <v>15</v>
      </c>
      <c r="M15" s="23">
        <v>0</v>
      </c>
    </row>
    <row r="16" spans="1:14" s="23" customFormat="1" x14ac:dyDescent="0.35">
      <c r="A16" s="23">
        <v>15</v>
      </c>
      <c r="B16" s="23" t="s">
        <v>137</v>
      </c>
      <c r="C16" s="23" t="s">
        <v>57</v>
      </c>
      <c r="D16" s="23">
        <v>33</v>
      </c>
      <c r="E16" s="23">
        <v>6</v>
      </c>
      <c r="F16" s="23">
        <v>0</v>
      </c>
      <c r="G16" s="23">
        <v>424</v>
      </c>
      <c r="H16" s="23" t="s">
        <v>99</v>
      </c>
      <c r="I16" s="23" t="s">
        <v>93</v>
      </c>
      <c r="J16" s="23">
        <v>0.5</v>
      </c>
      <c r="K16" s="23">
        <v>0.54</v>
      </c>
      <c r="L16" s="23">
        <v>2</v>
      </c>
      <c r="M16" s="23">
        <v>0</v>
      </c>
      <c r="N16" s="23">
        <v>1998</v>
      </c>
    </row>
    <row r="17" spans="1:14" s="24" customFormat="1" x14ac:dyDescent="0.35">
      <c r="A17" s="24">
        <v>16</v>
      </c>
      <c r="B17" s="24" t="s">
        <v>100</v>
      </c>
      <c r="C17" s="24" t="s">
        <v>57</v>
      </c>
      <c r="D17" s="24">
        <v>33</v>
      </c>
      <c r="E17" s="24">
        <v>6</v>
      </c>
      <c r="F17" s="24">
        <v>0</v>
      </c>
      <c r="G17" s="24">
        <v>12.9</v>
      </c>
      <c r="H17" s="24" t="s">
        <v>95</v>
      </c>
      <c r="I17" s="24" t="s">
        <v>93</v>
      </c>
      <c r="J17" s="24">
        <v>0.6</v>
      </c>
      <c r="K17" s="24">
        <v>0.36</v>
      </c>
      <c r="L17" s="24">
        <v>3</v>
      </c>
      <c r="M17" s="24">
        <v>0</v>
      </c>
    </row>
    <row r="18" spans="1:14" s="24" customFormat="1" x14ac:dyDescent="0.35">
      <c r="A18" s="24">
        <v>17</v>
      </c>
      <c r="B18" s="24" t="s">
        <v>110</v>
      </c>
      <c r="C18" s="24" t="s">
        <v>57</v>
      </c>
      <c r="D18" s="24">
        <v>33</v>
      </c>
      <c r="E18" s="24">
        <v>6</v>
      </c>
      <c r="F18" s="24">
        <v>0</v>
      </c>
      <c r="G18" s="24">
        <v>305</v>
      </c>
      <c r="H18" s="24" t="s">
        <v>98</v>
      </c>
      <c r="I18" s="24" t="s">
        <v>93</v>
      </c>
      <c r="J18" s="24">
        <v>1</v>
      </c>
      <c r="K18" s="24">
        <v>0.42</v>
      </c>
      <c r="L18" s="24">
        <v>2</v>
      </c>
      <c r="M18" s="24">
        <v>0</v>
      </c>
      <c r="N18" s="24">
        <v>2010</v>
      </c>
    </row>
    <row r="19" spans="1:14" s="23" customFormat="1" x14ac:dyDescent="0.35">
      <c r="A19" s="23">
        <v>18</v>
      </c>
      <c r="B19" s="23" t="s">
        <v>133</v>
      </c>
      <c r="C19" s="23" t="s">
        <v>57</v>
      </c>
      <c r="D19" s="23">
        <v>33</v>
      </c>
      <c r="E19" s="23">
        <v>6</v>
      </c>
      <c r="F19" s="23">
        <v>0</v>
      </c>
      <c r="G19" s="23">
        <v>122.3</v>
      </c>
      <c r="H19" s="23" t="s">
        <v>98</v>
      </c>
      <c r="I19" s="23" t="s">
        <v>93</v>
      </c>
      <c r="J19" s="23">
        <v>0.6</v>
      </c>
      <c r="K19" s="23">
        <v>0.42</v>
      </c>
      <c r="L19" s="23">
        <v>11</v>
      </c>
      <c r="M19" s="23">
        <v>0</v>
      </c>
      <c r="N19" s="23">
        <v>2006</v>
      </c>
    </row>
    <row r="20" spans="1:14" s="23" customFormat="1" x14ac:dyDescent="0.35">
      <c r="A20" s="23">
        <v>19</v>
      </c>
      <c r="B20" s="23" t="s">
        <v>132</v>
      </c>
      <c r="C20" s="23" t="s">
        <v>60</v>
      </c>
      <c r="D20" s="23">
        <v>36</v>
      </c>
      <c r="E20" s="23">
        <v>19</v>
      </c>
      <c r="F20" s="23">
        <v>0</v>
      </c>
      <c r="G20" s="23">
        <v>470</v>
      </c>
      <c r="H20" s="23" t="s">
        <v>99</v>
      </c>
      <c r="I20" s="23" t="s">
        <v>93</v>
      </c>
      <c r="J20" s="23">
        <v>0.5</v>
      </c>
      <c r="K20" s="23">
        <v>0.52</v>
      </c>
      <c r="L20" s="23">
        <v>2</v>
      </c>
      <c r="M20" s="23">
        <v>0</v>
      </c>
      <c r="N20" s="23">
        <v>1994</v>
      </c>
    </row>
    <row r="21" spans="1:14" s="23" customFormat="1" x14ac:dyDescent="0.35">
      <c r="A21" s="23">
        <v>20</v>
      </c>
      <c r="B21" s="23" t="s">
        <v>131</v>
      </c>
      <c r="C21" s="23" t="s">
        <v>60</v>
      </c>
      <c r="D21" s="23">
        <v>36</v>
      </c>
      <c r="E21" s="23">
        <v>19</v>
      </c>
      <c r="F21" s="23">
        <v>0</v>
      </c>
      <c r="G21" s="23">
        <v>178</v>
      </c>
      <c r="H21" s="23" t="s">
        <v>98</v>
      </c>
      <c r="I21" s="23" t="s">
        <v>93</v>
      </c>
      <c r="J21" s="23">
        <v>0.6</v>
      </c>
      <c r="K21" s="23">
        <v>0.39</v>
      </c>
      <c r="L21" s="23">
        <v>11</v>
      </c>
      <c r="M21" s="23">
        <v>0</v>
      </c>
      <c r="N21" s="23">
        <v>2008</v>
      </c>
    </row>
    <row r="22" spans="1:14" s="23" customFormat="1" x14ac:dyDescent="0.35">
      <c r="A22" s="23">
        <v>21</v>
      </c>
      <c r="B22" s="23" t="s">
        <v>130</v>
      </c>
      <c r="C22" s="23" t="s">
        <v>62</v>
      </c>
      <c r="D22" s="23">
        <v>38</v>
      </c>
      <c r="E22" s="23">
        <v>23</v>
      </c>
      <c r="F22" s="23">
        <v>0</v>
      </c>
      <c r="G22" s="23">
        <v>106</v>
      </c>
      <c r="H22" s="23" t="s">
        <v>102</v>
      </c>
      <c r="I22" s="23" t="s">
        <v>93</v>
      </c>
      <c r="J22" s="23">
        <v>0.5</v>
      </c>
      <c r="K22" s="23">
        <v>0.45</v>
      </c>
      <c r="L22" s="23">
        <v>3.3</v>
      </c>
      <c r="M22" s="23">
        <v>0</v>
      </c>
      <c r="N22" s="23">
        <v>2000</v>
      </c>
    </row>
    <row r="23" spans="1:14" s="24" customFormat="1" x14ac:dyDescent="0.35">
      <c r="A23" s="24">
        <v>22</v>
      </c>
      <c r="B23" s="24" t="s">
        <v>139</v>
      </c>
      <c r="C23" s="24" t="s">
        <v>64</v>
      </c>
      <c r="D23" s="24">
        <v>40</v>
      </c>
      <c r="E23" s="24" t="s">
        <v>185</v>
      </c>
      <c r="F23" s="24">
        <v>0</v>
      </c>
      <c r="G23" s="24">
        <v>2000</v>
      </c>
      <c r="H23" s="24" t="s">
        <v>96</v>
      </c>
      <c r="I23" s="24" t="s">
        <v>97</v>
      </c>
      <c r="J23" s="24">
        <v>0.1</v>
      </c>
      <c r="K23" s="24">
        <v>0.33</v>
      </c>
      <c r="L23" s="24">
        <v>9</v>
      </c>
      <c r="M23" s="24">
        <v>1.87</v>
      </c>
    </row>
    <row r="24" spans="1:14" s="24" customFormat="1" x14ac:dyDescent="0.35">
      <c r="A24" s="24">
        <v>23</v>
      </c>
      <c r="B24" s="24" t="s">
        <v>109</v>
      </c>
      <c r="C24" s="24" t="s">
        <v>69</v>
      </c>
      <c r="D24" s="24">
        <v>44</v>
      </c>
      <c r="E24" s="24">
        <v>9</v>
      </c>
      <c r="F24" s="24">
        <v>0</v>
      </c>
      <c r="G24" s="24">
        <v>419</v>
      </c>
      <c r="H24" s="24" t="s">
        <v>95</v>
      </c>
      <c r="I24" s="24" t="s">
        <v>93</v>
      </c>
      <c r="J24" s="24">
        <v>0.6</v>
      </c>
      <c r="K24" s="24">
        <v>0.56999999999999995</v>
      </c>
      <c r="L24" s="24">
        <v>2</v>
      </c>
      <c r="M24" s="24">
        <v>0</v>
      </c>
      <c r="N24" s="24">
        <v>2005</v>
      </c>
    </row>
    <row r="25" spans="1:14" s="24" customFormat="1" x14ac:dyDescent="0.35">
      <c r="A25" s="24">
        <v>24</v>
      </c>
      <c r="B25" s="24" t="s">
        <v>106</v>
      </c>
      <c r="C25" s="24" t="s">
        <v>70</v>
      </c>
      <c r="D25" s="24">
        <v>45</v>
      </c>
      <c r="E25" s="24">
        <v>19</v>
      </c>
      <c r="F25" s="24">
        <v>0</v>
      </c>
      <c r="G25" s="24">
        <v>43</v>
      </c>
      <c r="H25" s="24" t="s">
        <v>94</v>
      </c>
      <c r="I25" s="24" t="s">
        <v>93</v>
      </c>
      <c r="J25" s="24">
        <v>0.5</v>
      </c>
      <c r="K25" s="24">
        <v>0.45</v>
      </c>
      <c r="L25" s="24">
        <v>3.3</v>
      </c>
      <c r="M25" s="24">
        <v>0</v>
      </c>
      <c r="N25" s="24">
        <v>1996</v>
      </c>
    </row>
  </sheetData>
  <autoFilter ref="A1:M1" xr:uid="{00000000-0009-0000-0000-000003000000}">
    <sortState xmlns:xlrd2="http://schemas.microsoft.com/office/spreadsheetml/2017/richdata2" ref="A2:M25">
      <sortCondition ref="D1"/>
    </sortState>
  </autoFilter>
  <conditionalFormatting sqref="C2">
    <cfRule type="colorScale" priority="1">
      <colorScale>
        <cfvo type="formula" val="&quot;yes&quot;"/>
        <cfvo type="formula" val="&quot;no&quot;"/>
        <color theme="6" tint="0.39997558519241921"/>
        <color theme="9" tint="0.39997558519241921"/>
      </colorScale>
    </cfRule>
    <cfRule type="expression" dxfId="3" priority="2">
      <formula>IF(C2="yes",TRUE,FALSE)</formula>
    </cfRule>
  </conditionalFormatting>
  <conditionalFormatting sqref="C4:E4 C9:E25">
    <cfRule type="colorScale" priority="9">
      <colorScale>
        <cfvo type="formula" val="&quot;yes&quot;"/>
        <cfvo type="formula" val="&quot;no&quot;"/>
        <color theme="6" tint="0.39997558519241921"/>
        <color theme="9" tint="0.39997558519241921"/>
      </colorScale>
    </cfRule>
    <cfRule type="expression" dxfId="2" priority="10">
      <formula>IF(C4="yes",TRUE,FALSE)</formula>
    </cfRule>
  </conditionalFormatting>
  <conditionalFormatting sqref="C8:E8">
    <cfRule type="colorScale" priority="5">
      <colorScale>
        <cfvo type="formula" val="&quot;yes&quot;"/>
        <cfvo type="formula" val="&quot;no&quot;"/>
        <color theme="6" tint="0.39997558519241921"/>
        <color theme="9" tint="0.39997558519241921"/>
      </colorScale>
    </cfRule>
    <cfRule type="expression" dxfId="1" priority="6">
      <formula>IF(C8="yes",TRUE,FALSE)</formula>
    </cfRule>
  </conditionalFormatting>
  <conditionalFormatting sqref="D2:E2">
    <cfRule type="colorScale" priority="3">
      <colorScale>
        <cfvo type="formula" val="&quot;yes&quot;"/>
        <cfvo type="formula" val="&quot;no&quot;"/>
        <color theme="6" tint="0.39997558519241921"/>
        <color theme="9" tint="0.39997558519241921"/>
      </colorScale>
    </cfRule>
    <cfRule type="expression" dxfId="0" priority="4">
      <formula>IF(D2="yes",TRUE,FALSE)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3C92-5ACE-4DE8-AD4C-25484FB2A3B9}">
  <dimension ref="A1:X46"/>
  <sheetViews>
    <sheetView workbookViewId="0">
      <selection activeCell="A46" sqref="A46"/>
    </sheetView>
  </sheetViews>
  <sheetFormatPr baseColWidth="10" defaultRowHeight="14.5" x14ac:dyDescent="0.35"/>
  <sheetData>
    <row r="1" spans="1:24" x14ac:dyDescent="0.35">
      <c r="A1" t="s">
        <v>150</v>
      </c>
      <c r="B1" t="s">
        <v>151</v>
      </c>
      <c r="C1" t="s">
        <v>152</v>
      </c>
      <c r="D1" t="s">
        <v>153</v>
      </c>
      <c r="E1" t="s">
        <v>154</v>
      </c>
      <c r="F1" t="s">
        <v>155</v>
      </c>
      <c r="G1" t="s">
        <v>156</v>
      </c>
      <c r="H1" t="s">
        <v>157</v>
      </c>
      <c r="I1" t="s">
        <v>158</v>
      </c>
      <c r="J1" t="s">
        <v>159</v>
      </c>
      <c r="K1" t="s">
        <v>160</v>
      </c>
      <c r="L1" t="s">
        <v>161</v>
      </c>
      <c r="M1" t="s">
        <v>162</v>
      </c>
      <c r="N1" t="s">
        <v>163</v>
      </c>
      <c r="O1" t="s">
        <v>164</v>
      </c>
      <c r="P1" t="s">
        <v>165</v>
      </c>
      <c r="Q1" t="s">
        <v>166</v>
      </c>
      <c r="R1" t="s">
        <v>167</v>
      </c>
      <c r="S1" t="s">
        <v>168</v>
      </c>
      <c r="T1" t="s">
        <v>169</v>
      </c>
      <c r="U1" t="s">
        <v>170</v>
      </c>
      <c r="V1" t="s">
        <v>171</v>
      </c>
      <c r="W1" t="s">
        <v>172</v>
      </c>
      <c r="X1" t="s">
        <v>173</v>
      </c>
    </row>
    <row r="2" spans="1:24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 x14ac:dyDescent="0.3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 x14ac:dyDescent="0.35">
      <c r="A8">
        <v>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 x14ac:dyDescent="0.35">
      <c r="A14">
        <v>0</v>
      </c>
      <c r="B14">
        <v>0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 x14ac:dyDescent="0.3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 x14ac:dyDescent="0.35">
      <c r="A16">
        <v>0</v>
      </c>
      <c r="B16">
        <v>0</v>
      </c>
      <c r="C16">
        <v>0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</row>
    <row r="18" spans="1:24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 x14ac:dyDescent="0.3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 x14ac:dyDescent="0.3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</row>
    <row r="26" spans="1:24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</row>
    <row r="27" spans="1:24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</row>
    <row r="28" spans="1:24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</row>
    <row r="29" spans="1:24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</row>
    <row r="30" spans="1:24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1</v>
      </c>
      <c r="K30">
        <v>1</v>
      </c>
      <c r="L30">
        <v>1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</row>
    <row r="31" spans="1:24" x14ac:dyDescent="0.3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</row>
    <row r="32" spans="1:24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</row>
    <row r="33" spans="1:24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</row>
    <row r="34" spans="1:24" x14ac:dyDescent="0.3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1</v>
      </c>
      <c r="Q34">
        <v>1</v>
      </c>
      <c r="R34">
        <v>1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</row>
    <row r="35" spans="1:24" x14ac:dyDescent="0.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</row>
    <row r="36" spans="1:24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</row>
    <row r="37" spans="1:24" x14ac:dyDescent="0.3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0</v>
      </c>
      <c r="X37">
        <v>0</v>
      </c>
    </row>
    <row r="38" spans="1:24" x14ac:dyDescent="0.3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</row>
    <row r="39" spans="1:24" x14ac:dyDescent="0.3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</v>
      </c>
      <c r="V39">
        <v>0</v>
      </c>
      <c r="W39">
        <v>0</v>
      </c>
      <c r="X39">
        <v>0</v>
      </c>
    </row>
    <row r="40" spans="1:24" x14ac:dyDescent="0.3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</row>
    <row r="41" spans="1:24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</row>
    <row r="42" spans="1:24" x14ac:dyDescent="0.3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</row>
    <row r="43" spans="1:24" x14ac:dyDescent="0.35">
      <c r="A43">
        <v>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</row>
    <row r="44" spans="1:24" x14ac:dyDescent="0.3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</row>
    <row r="45" spans="1:24" x14ac:dyDescent="0.3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</row>
    <row r="46" spans="1:24" x14ac:dyDescent="0.3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1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BEC37-5A35-4B26-B2B9-3DFF1AD01641}">
  <dimension ref="A1:A46"/>
  <sheetViews>
    <sheetView workbookViewId="0">
      <selection activeCell="D40" sqref="D40"/>
    </sheetView>
  </sheetViews>
  <sheetFormatPr baseColWidth="10" defaultRowHeight="14.5" x14ac:dyDescent="0.35"/>
  <sheetData>
    <row r="1" spans="1:1" x14ac:dyDescent="0.35">
      <c r="A1" t="s">
        <v>174</v>
      </c>
    </row>
    <row r="2" spans="1:1" x14ac:dyDescent="0.35">
      <c r="A2">
        <v>0</v>
      </c>
    </row>
    <row r="3" spans="1:1" x14ac:dyDescent="0.35">
      <c r="A3">
        <v>0</v>
      </c>
    </row>
    <row r="4" spans="1:1" x14ac:dyDescent="0.35">
      <c r="A4">
        <v>0</v>
      </c>
    </row>
    <row r="5" spans="1:1" x14ac:dyDescent="0.35">
      <c r="A5">
        <v>0</v>
      </c>
    </row>
    <row r="6" spans="1:1" x14ac:dyDescent="0.35">
      <c r="A6">
        <v>0</v>
      </c>
    </row>
    <row r="7" spans="1:1" x14ac:dyDescent="0.35">
      <c r="A7">
        <v>0</v>
      </c>
    </row>
    <row r="8" spans="1:1" x14ac:dyDescent="0.35">
      <c r="A8">
        <v>0</v>
      </c>
    </row>
    <row r="9" spans="1:1" x14ac:dyDescent="0.35">
      <c r="A9">
        <v>0</v>
      </c>
    </row>
    <row r="10" spans="1:1" x14ac:dyDescent="0.35">
      <c r="A10">
        <v>0</v>
      </c>
    </row>
    <row r="11" spans="1:1" x14ac:dyDescent="0.35">
      <c r="A11">
        <v>0</v>
      </c>
    </row>
    <row r="12" spans="1:1" x14ac:dyDescent="0.35">
      <c r="A12">
        <v>0</v>
      </c>
    </row>
    <row r="13" spans="1:1" x14ac:dyDescent="0.35">
      <c r="A13">
        <v>0</v>
      </c>
    </row>
    <row r="14" spans="1:1" x14ac:dyDescent="0.35">
      <c r="A14">
        <v>0</v>
      </c>
    </row>
    <row r="15" spans="1:1" x14ac:dyDescent="0.35">
      <c r="A15">
        <v>0</v>
      </c>
    </row>
    <row r="16" spans="1:1" x14ac:dyDescent="0.35">
      <c r="A16">
        <v>0</v>
      </c>
    </row>
    <row r="17" spans="1:1" x14ac:dyDescent="0.35">
      <c r="A17">
        <v>0</v>
      </c>
    </row>
    <row r="18" spans="1:1" x14ac:dyDescent="0.35">
      <c r="A18">
        <v>0</v>
      </c>
    </row>
    <row r="19" spans="1:1" x14ac:dyDescent="0.35">
      <c r="A19">
        <v>0</v>
      </c>
    </row>
    <row r="20" spans="1:1" x14ac:dyDescent="0.35">
      <c r="A20">
        <v>0</v>
      </c>
    </row>
    <row r="21" spans="1:1" x14ac:dyDescent="0.35">
      <c r="A21">
        <v>0</v>
      </c>
    </row>
    <row r="22" spans="1:1" x14ac:dyDescent="0.35">
      <c r="A22">
        <v>0</v>
      </c>
    </row>
    <row r="23" spans="1:1" x14ac:dyDescent="0.35">
      <c r="A23">
        <v>0</v>
      </c>
    </row>
    <row r="24" spans="1:1" x14ac:dyDescent="0.35">
      <c r="A24">
        <v>0</v>
      </c>
    </row>
    <row r="25" spans="1:1" x14ac:dyDescent="0.35">
      <c r="A25">
        <v>0</v>
      </c>
    </row>
    <row r="26" spans="1:1" x14ac:dyDescent="0.35">
      <c r="A26">
        <v>0</v>
      </c>
    </row>
    <row r="27" spans="1:1" x14ac:dyDescent="0.35">
      <c r="A27">
        <v>0</v>
      </c>
    </row>
    <row r="28" spans="1:1" x14ac:dyDescent="0.35">
      <c r="A28">
        <v>0</v>
      </c>
    </row>
    <row r="29" spans="1:1" x14ac:dyDescent="0.35">
      <c r="A29">
        <v>0</v>
      </c>
    </row>
    <row r="30" spans="1:1" x14ac:dyDescent="0.35">
      <c r="A30">
        <v>0</v>
      </c>
    </row>
    <row r="31" spans="1:1" x14ac:dyDescent="0.35">
      <c r="A31">
        <v>0</v>
      </c>
    </row>
    <row r="32" spans="1:1" x14ac:dyDescent="0.35">
      <c r="A32">
        <v>0</v>
      </c>
    </row>
    <row r="33" spans="1:1" x14ac:dyDescent="0.35">
      <c r="A33">
        <v>0</v>
      </c>
    </row>
    <row r="34" spans="1:1" x14ac:dyDescent="0.35">
      <c r="A34">
        <v>0</v>
      </c>
    </row>
    <row r="35" spans="1:1" x14ac:dyDescent="0.35">
      <c r="A35">
        <v>0</v>
      </c>
    </row>
    <row r="36" spans="1:1" x14ac:dyDescent="0.35">
      <c r="A36">
        <v>0</v>
      </c>
    </row>
    <row r="37" spans="1:1" x14ac:dyDescent="0.35">
      <c r="A37">
        <v>0</v>
      </c>
    </row>
    <row r="38" spans="1:1" x14ac:dyDescent="0.35">
      <c r="A38">
        <v>0</v>
      </c>
    </row>
    <row r="39" spans="1:1" x14ac:dyDescent="0.35">
      <c r="A39">
        <v>0</v>
      </c>
    </row>
    <row r="40" spans="1:1" x14ac:dyDescent="0.35">
      <c r="A40">
        <v>1</v>
      </c>
    </row>
    <row r="41" spans="1:1" x14ac:dyDescent="0.35">
      <c r="A41">
        <v>0</v>
      </c>
    </row>
    <row r="42" spans="1:1" x14ac:dyDescent="0.35">
      <c r="A42">
        <v>0</v>
      </c>
    </row>
    <row r="43" spans="1:1" x14ac:dyDescent="0.35">
      <c r="A43">
        <v>0</v>
      </c>
    </row>
    <row r="44" spans="1:1" x14ac:dyDescent="0.35">
      <c r="A44">
        <v>0</v>
      </c>
    </row>
    <row r="45" spans="1:1" x14ac:dyDescent="0.35">
      <c r="A45">
        <v>0</v>
      </c>
    </row>
    <row r="46" spans="1:1" x14ac:dyDescent="0.35">
      <c r="A4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89550-F14A-48BD-9D32-4BCE39FDCE38}">
  <dimension ref="A1:E3"/>
  <sheetViews>
    <sheetView zoomScaleNormal="100" workbookViewId="0">
      <pane ySplit="1" topLeftCell="A2" activePane="bottomLeft" state="frozen"/>
      <selection pane="bottomLeft" activeCell="E1" sqref="E1"/>
    </sheetView>
  </sheetViews>
  <sheetFormatPr baseColWidth="10" defaultColWidth="11.54296875" defaultRowHeight="14.5" x14ac:dyDescent="0.35"/>
  <cols>
    <col min="1" max="1" width="12.81640625" style="11" bestFit="1" customWidth="1"/>
    <col min="2" max="2" width="17.54296875" style="11" customWidth="1"/>
    <col min="3" max="3" width="10.1796875" style="11" customWidth="1"/>
    <col min="4" max="4" width="13.453125" style="11" customWidth="1"/>
    <col min="5" max="5" width="14.7265625" style="11" bestFit="1" customWidth="1"/>
    <col min="6" max="6" width="11.54296875" style="11" customWidth="1"/>
    <col min="7" max="16384" width="11.54296875" style="11"/>
  </cols>
  <sheetData>
    <row r="1" spans="1:5" x14ac:dyDescent="0.35">
      <c r="A1" s="14" t="s">
        <v>86</v>
      </c>
      <c r="B1" s="14" t="s">
        <v>7</v>
      </c>
      <c r="C1" s="15" t="s">
        <v>6</v>
      </c>
      <c r="D1" s="15" t="s">
        <v>143</v>
      </c>
      <c r="E1" s="14" t="s">
        <v>82</v>
      </c>
    </row>
    <row r="2" spans="1:5" s="25" customFormat="1" x14ac:dyDescent="0.35">
      <c r="A2" s="25">
        <v>1</v>
      </c>
      <c r="B2" s="25" t="s">
        <v>144</v>
      </c>
      <c r="C2">
        <v>39</v>
      </c>
      <c r="D2" t="s">
        <v>63</v>
      </c>
      <c r="E2" s="25">
        <v>2262</v>
      </c>
    </row>
    <row r="3" spans="1:5" x14ac:dyDescent="0.35">
      <c r="A3" s="11">
        <v>2</v>
      </c>
      <c r="B3" s="11" t="s">
        <v>145</v>
      </c>
      <c r="C3" s="11" t="s">
        <v>146</v>
      </c>
      <c r="E3" s="11">
        <v>542</v>
      </c>
    </row>
  </sheetData>
  <autoFilter ref="A1:E1" xr:uid="{00000000-0009-0000-0000-000003000000}">
    <sortState xmlns:xlrd2="http://schemas.microsoft.com/office/spreadsheetml/2017/richdata2" ref="A2:E54">
      <sortCondition ref="C1"/>
    </sortState>
  </autoFilter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9"/>
  <sheetViews>
    <sheetView tabSelected="1" zoomScale="110" zoomScaleNormal="110" workbookViewId="0">
      <selection activeCell="H17" sqref="H17"/>
    </sheetView>
  </sheetViews>
  <sheetFormatPr baseColWidth="10" defaultRowHeight="14.5" x14ac:dyDescent="0.35"/>
  <cols>
    <col min="1" max="1" width="16.90625" customWidth="1"/>
    <col min="2" max="2" width="24.1796875" bestFit="1" customWidth="1"/>
    <col min="3" max="3" width="16.90625" customWidth="1"/>
    <col min="4" max="4" width="13.7265625" customWidth="1"/>
    <col min="5" max="5" width="14.453125" bestFit="1" customWidth="1"/>
    <col min="6" max="6" width="12.6328125" customWidth="1"/>
    <col min="7" max="7" width="7.36328125" bestFit="1" customWidth="1"/>
    <col min="8" max="8" width="24.453125" bestFit="1" customWidth="1"/>
    <col min="9" max="9" width="17.453125" bestFit="1" customWidth="1"/>
  </cols>
  <sheetData>
    <row r="1" spans="1:9" x14ac:dyDescent="0.35">
      <c r="A1" s="13" t="s">
        <v>111</v>
      </c>
      <c r="B1" s="13" t="s">
        <v>7</v>
      </c>
      <c r="C1" s="13" t="s">
        <v>6</v>
      </c>
      <c r="D1" s="13" t="s">
        <v>143</v>
      </c>
      <c r="E1" s="13" t="s">
        <v>112</v>
      </c>
      <c r="F1" s="13" t="s">
        <v>82</v>
      </c>
      <c r="G1" s="13" t="s">
        <v>9</v>
      </c>
      <c r="H1" s="13" t="s">
        <v>113</v>
      </c>
      <c r="I1" s="13" t="s">
        <v>114</v>
      </c>
    </row>
    <row r="2" spans="1:9" x14ac:dyDescent="0.35">
      <c r="A2">
        <v>1</v>
      </c>
      <c r="B2" t="s">
        <v>115</v>
      </c>
      <c r="C2">
        <v>30</v>
      </c>
      <c r="D2" t="s">
        <v>54</v>
      </c>
      <c r="E2" t="s">
        <v>116</v>
      </c>
      <c r="F2">
        <v>1000</v>
      </c>
      <c r="G2" t="s">
        <v>117</v>
      </c>
      <c r="H2">
        <v>120</v>
      </c>
      <c r="I2">
        <f>2.52*0.5</f>
        <v>1.26</v>
      </c>
    </row>
    <row r="3" spans="1:9" x14ac:dyDescent="0.35">
      <c r="A3">
        <v>2</v>
      </c>
      <c r="B3" t="s">
        <v>140</v>
      </c>
      <c r="C3">
        <v>44</v>
      </c>
      <c r="D3" t="s">
        <v>69</v>
      </c>
      <c r="E3" t="s">
        <v>118</v>
      </c>
      <c r="F3">
        <v>1850.5063704671679</v>
      </c>
      <c r="G3" t="s">
        <v>119</v>
      </c>
      <c r="H3">
        <v>120</v>
      </c>
      <c r="I3">
        <v>3.1150000000000002</v>
      </c>
    </row>
    <row r="4" spans="1:9" x14ac:dyDescent="0.35">
      <c r="A4">
        <v>3</v>
      </c>
      <c r="B4" t="s">
        <v>141</v>
      </c>
      <c r="C4">
        <v>41</v>
      </c>
      <c r="D4" t="s">
        <v>65</v>
      </c>
      <c r="E4" t="s">
        <v>118</v>
      </c>
      <c r="F4">
        <v>1549.4936295328325</v>
      </c>
      <c r="G4" t="s">
        <v>119</v>
      </c>
      <c r="H4">
        <v>120</v>
      </c>
      <c r="I4">
        <v>3.1150000000000002</v>
      </c>
    </row>
    <row r="5" spans="1:9" x14ac:dyDescent="0.35">
      <c r="A5">
        <v>4</v>
      </c>
      <c r="B5" t="s">
        <v>120</v>
      </c>
      <c r="C5">
        <v>23</v>
      </c>
      <c r="D5" t="s">
        <v>48</v>
      </c>
      <c r="E5" t="s">
        <v>121</v>
      </c>
      <c r="F5">
        <v>1000</v>
      </c>
      <c r="G5" t="s">
        <v>117</v>
      </c>
      <c r="H5">
        <v>120</v>
      </c>
      <c r="I5">
        <v>3.23</v>
      </c>
    </row>
    <row r="6" spans="1:9" x14ac:dyDescent="0.35">
      <c r="A6">
        <v>5</v>
      </c>
      <c r="B6" t="s">
        <v>122</v>
      </c>
      <c r="C6">
        <v>2</v>
      </c>
      <c r="D6" t="s">
        <v>20</v>
      </c>
      <c r="E6" t="s">
        <v>123</v>
      </c>
      <c r="F6">
        <v>697.89745481372188</v>
      </c>
      <c r="G6" t="s">
        <v>119</v>
      </c>
      <c r="H6">
        <v>120</v>
      </c>
      <c r="I6">
        <v>2.5299999999999998</v>
      </c>
    </row>
    <row r="7" spans="1:9" x14ac:dyDescent="0.35">
      <c r="A7">
        <v>6</v>
      </c>
      <c r="B7" t="s">
        <v>124</v>
      </c>
      <c r="C7">
        <v>16</v>
      </c>
      <c r="D7" t="s">
        <v>40</v>
      </c>
      <c r="E7" t="s">
        <v>123</v>
      </c>
      <c r="F7">
        <v>318.26530482453359</v>
      </c>
      <c r="G7" t="s">
        <v>119</v>
      </c>
      <c r="H7">
        <v>120</v>
      </c>
      <c r="I7">
        <f t="shared" ref="I7:I8" si="0">7.59/6</f>
        <v>1.2649999999999999</v>
      </c>
    </row>
    <row r="8" spans="1:9" x14ac:dyDescent="0.35">
      <c r="A8">
        <v>7</v>
      </c>
      <c r="B8" t="s">
        <v>125</v>
      </c>
      <c r="C8">
        <v>1</v>
      </c>
      <c r="D8" t="s">
        <v>15</v>
      </c>
      <c r="E8" t="s">
        <v>123</v>
      </c>
      <c r="F8">
        <v>1038.6694056144183</v>
      </c>
      <c r="G8" t="s">
        <v>119</v>
      </c>
      <c r="H8">
        <v>120</v>
      </c>
      <c r="I8">
        <f t="shared" si="0"/>
        <v>1.2649999999999999</v>
      </c>
    </row>
    <row r="9" spans="1:9" x14ac:dyDescent="0.35">
      <c r="A9">
        <v>8</v>
      </c>
      <c r="B9" t="s">
        <v>142</v>
      </c>
      <c r="C9">
        <v>4</v>
      </c>
      <c r="D9" t="s">
        <v>23</v>
      </c>
      <c r="E9" t="s">
        <v>123</v>
      </c>
      <c r="F9">
        <v>2245.1678347473267</v>
      </c>
      <c r="G9" t="s">
        <v>119</v>
      </c>
      <c r="H9">
        <v>120</v>
      </c>
      <c r="I9">
        <v>2.5299999999999998</v>
      </c>
    </row>
  </sheetData>
  <autoFilter ref="A1:I1" xr:uid="{00000000-0009-0000-0000-000007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B4EB-47CE-4CDA-ADFF-082A0E6EC792}">
  <dimension ref="A1:H46"/>
  <sheetViews>
    <sheetView workbookViewId="0">
      <selection activeCell="M25" sqref="M25"/>
    </sheetView>
  </sheetViews>
  <sheetFormatPr baseColWidth="10" defaultRowHeight="14.5" x14ac:dyDescent="0.35"/>
  <sheetData>
    <row r="1" spans="1:8" x14ac:dyDescent="0.35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180</v>
      </c>
      <c r="G1" t="s">
        <v>181</v>
      </c>
      <c r="H1" t="s">
        <v>182</v>
      </c>
    </row>
    <row r="2" spans="1:8" x14ac:dyDescent="0.3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</row>
    <row r="3" spans="1:8" x14ac:dyDescent="0.35">
      <c r="A3">
        <v>0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</row>
    <row r="4" spans="1:8" x14ac:dyDescent="0.3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</row>
    <row r="6" spans="1:8" x14ac:dyDescent="0.3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 x14ac:dyDescent="0.3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 x14ac:dyDescent="0.3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 x14ac:dyDescent="0.35">
      <c r="A17">
        <v>0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</row>
    <row r="18" spans="1:8" x14ac:dyDescent="0.3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3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3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 x14ac:dyDescent="0.3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 x14ac:dyDescent="0.3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 x14ac:dyDescent="0.3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 x14ac:dyDescent="0.35">
      <c r="A24">
        <v>0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</row>
    <row r="25" spans="1:8" x14ac:dyDescent="0.3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3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 x14ac:dyDescent="0.3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 x14ac:dyDescent="0.3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 x14ac:dyDescent="0.3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 x14ac:dyDescent="0.3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 x14ac:dyDescent="0.35">
      <c r="A31">
        <v>1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 x14ac:dyDescent="0.3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 x14ac:dyDescent="0.3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 x14ac:dyDescent="0.3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 x14ac:dyDescent="0.3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 x14ac:dyDescent="0.3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 x14ac:dyDescent="0.3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 x14ac:dyDescent="0.3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 x14ac:dyDescent="0.3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 x14ac:dyDescent="0.3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 x14ac:dyDescent="0.3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 x14ac:dyDescent="0.35">
      <c r="A42">
        <v>0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 x14ac:dyDescent="0.3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 x14ac:dyDescent="0.3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 x14ac:dyDescent="0.35">
      <c r="A45">
        <v>0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 x14ac:dyDescent="0.3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General</vt:lpstr>
      <vt:lpstr>Buses</vt:lpstr>
      <vt:lpstr>LinesMerged</vt:lpstr>
      <vt:lpstr>Gen</vt:lpstr>
      <vt:lpstr>GenMap</vt:lpstr>
      <vt:lpstr>WindMap</vt:lpstr>
      <vt:lpstr>Renew</vt:lpstr>
      <vt:lpstr>Imp</vt:lpstr>
      <vt:lpstr>ImpMap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Aurélia Hernandez</dc:creator>
  <cp:lastModifiedBy>Chloé DUPONT</cp:lastModifiedBy>
  <dcterms:created xsi:type="dcterms:W3CDTF">2022-10-14T12:11:19Z</dcterms:created>
  <dcterms:modified xsi:type="dcterms:W3CDTF">2025-10-02T11:48:48Z</dcterms:modified>
</cp:coreProperties>
</file>