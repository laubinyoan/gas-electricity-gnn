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5382_umons_ac_be/Documents/Codes/4-GasElec Belgium/Data Belgium/"/>
    </mc:Choice>
  </mc:AlternateContent>
  <xr:revisionPtr revIDLastSave="2937" documentId="8_{20699D7C-DF9F-4F27-8C7A-DF727AA640A4}" xr6:coauthVersionLast="47" xr6:coauthVersionMax="47" xr10:uidLastSave="{15EF1D22-BA86-4A39-AF20-B6826A7C2497}"/>
  <bookViews>
    <workbookView xWindow="-110" yWindow="-110" windowWidth="25820" windowHeight="15500" activeTab="1" xr2:uid="{401A32B4-A6AD-40F2-88B9-78D16112FA66}"/>
  </bookViews>
  <sheets>
    <sheet name="Nodes" sheetId="1" r:id="rId1"/>
    <sheet name="Pipelines" sheetId="8" r:id="rId2"/>
    <sheet name="Check" sheetId="15" r:id="rId3"/>
    <sheet name="Well" sheetId="7" r:id="rId4"/>
    <sheet name="GasWellMap" sheetId="9" r:id="rId5"/>
    <sheet name="GFPPMap" sheetId="10" r:id="rId6"/>
    <sheet name="KI" sheetId="13" r:id="rId7"/>
    <sheet name="KO" sheetId="1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8" l="1"/>
  <c r="H27" i="8"/>
  <c r="H26" i="8"/>
  <c r="H20" i="8"/>
  <c r="H13" i="8"/>
  <c r="C29" i="15"/>
  <c r="C27" i="15"/>
  <c r="C26" i="15"/>
  <c r="C20" i="15"/>
  <c r="C13" i="15"/>
  <c r="C28" i="1"/>
  <c r="B23" i="1"/>
  <c r="B12" i="1"/>
  <c r="B24" i="1"/>
  <c r="B21" i="1"/>
  <c r="B20" i="1"/>
  <c r="B13" i="1"/>
  <c r="B14" i="1"/>
  <c r="B15" i="1"/>
  <c r="B16" i="1"/>
  <c r="B11" i="1"/>
  <c r="B9" i="1"/>
  <c r="B28" i="1"/>
  <c r="B29" i="1"/>
  <c r="B27" i="1"/>
  <c r="B4" i="1"/>
  <c r="B5" i="1"/>
  <c r="B3" i="1"/>
  <c r="D3" i="7"/>
</calcChain>
</file>

<file path=xl/sharedStrings.xml><?xml version="1.0" encoding="utf-8"?>
<sst xmlns="http://schemas.openxmlformats.org/spreadsheetml/2006/main" count="100" uniqueCount="74">
  <si>
    <t>Gen1</t>
  </si>
  <si>
    <t>Gen2</t>
  </si>
  <si>
    <t>Gen3</t>
  </si>
  <si>
    <t>Gen4</t>
  </si>
  <si>
    <t>Gen5</t>
  </si>
  <si>
    <t>Gas Node</t>
  </si>
  <si>
    <t>Gas node</t>
  </si>
  <si>
    <t>Pipeline</t>
  </si>
  <si>
    <t>From node</t>
  </si>
  <si>
    <t>To node</t>
  </si>
  <si>
    <t>Compressor factor</t>
  </si>
  <si>
    <r>
      <t>Linepack constant</t>
    </r>
    <r>
      <rPr>
        <sz val="11"/>
        <color theme="1"/>
        <rFont val="Aptos Narrow"/>
        <family val="2"/>
        <scheme val="minor"/>
      </rPr>
      <t xml:space="preserve"> quantifies</t>
    </r>
  </si>
  <si>
    <t xml:space="preserve"> how much gas volume is</t>
  </si>
  <si>
    <t xml:space="preserve"> added or removed from the</t>
  </si>
  <si>
    <t xml:space="preserve"> pipeline for each change in pressure</t>
  </si>
  <si>
    <t>Well1</t>
  </si>
  <si>
    <t>Well2</t>
  </si>
  <si>
    <t>Pipe 1</t>
  </si>
  <si>
    <t>Pipe 2</t>
  </si>
  <si>
    <t>Pipe 3</t>
  </si>
  <si>
    <t>Pipe 4</t>
  </si>
  <si>
    <t>Pipe 5</t>
  </si>
  <si>
    <t>Pipe 6</t>
  </si>
  <si>
    <t>Pipe 7</t>
  </si>
  <si>
    <t>Pipe 8</t>
  </si>
  <si>
    <t>Pipe 9</t>
  </si>
  <si>
    <t>Pipe 10</t>
  </si>
  <si>
    <t>Pipe 11</t>
  </si>
  <si>
    <t>Pipe 12</t>
  </si>
  <si>
    <t>€/MWh</t>
  </si>
  <si>
    <t>€/kWh</t>
  </si>
  <si>
    <t>kWh/Nm3</t>
  </si>
  <si>
    <t>GCV  moyen décembre :</t>
  </si>
  <si>
    <t>OLD Day-ahead offer price (€/Mm3)</t>
  </si>
  <si>
    <t>Spot Market TTF Q4 2024 :</t>
  </si>
  <si>
    <t>Gmax [MNm3/h]</t>
  </si>
  <si>
    <t>Day-ahead offer price [€/MNm3]</t>
  </si>
  <si>
    <t>Res_Load_share_%</t>
  </si>
  <si>
    <t>Ind_Load_share_%</t>
  </si>
  <si>
    <t>Pr_min [bar]</t>
  </si>
  <si>
    <t>Pr_max [bar]</t>
  </si>
  <si>
    <t>Well4</t>
  </si>
  <si>
    <t>Well5</t>
  </si>
  <si>
    <t>Gen6</t>
  </si>
  <si>
    <t>Gen7</t>
  </si>
  <si>
    <t>Gen8</t>
  </si>
  <si>
    <t>Gen9</t>
  </si>
  <si>
    <t>Gen10</t>
  </si>
  <si>
    <t>Gen11</t>
  </si>
  <si>
    <t>Gen12</t>
  </si>
  <si>
    <t>Gen13</t>
  </si>
  <si>
    <t>Gen14</t>
  </si>
  <si>
    <t>Gen15</t>
  </si>
  <si>
    <t>Gen16</t>
  </si>
  <si>
    <t>Gen17</t>
  </si>
  <si>
    <t>Gen18</t>
  </si>
  <si>
    <t>Gen19</t>
  </si>
  <si>
    <t>Gen20</t>
  </si>
  <si>
    <t>Gen21</t>
  </si>
  <si>
    <t>Gen22</t>
  </si>
  <si>
    <t>Gen23</t>
  </si>
  <si>
    <t>Gen24</t>
  </si>
  <si>
    <t>NA</t>
  </si>
  <si>
    <t>Natural gas flow constant [MNm3/(bar*h)2]</t>
  </si>
  <si>
    <t>Initial linepack [MNm3]</t>
  </si>
  <si>
    <t>Linepack constant [MNm3/bar]</t>
  </si>
  <si>
    <t>T (K)</t>
  </si>
  <si>
    <t>Density (kg/m3)</t>
  </si>
  <si>
    <t>Compressibility</t>
  </si>
  <si>
    <t>p0 (bar)</t>
  </si>
  <si>
    <t>T0 (K)</t>
  </si>
  <si>
    <t>Estimated lenght [km]</t>
  </si>
  <si>
    <t>Exp_Load_share_%</t>
  </si>
  <si>
    <t>High Linepack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</si>
</sst>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98F8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 applyAlignment="1">
      <alignment horizontal="center"/>
    </xf>
    <xf numFmtId="11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0" fillId="3" borderId="0" xfId="0" applyFill="1"/>
    <xf numFmtId="0" fontId="5" fillId="0" borderId="0" xfId="0" applyFont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164" fontId="0" fillId="0" borderId="0" xfId="0" applyNumberFormat="1"/>
    <xf numFmtId="0" fontId="0" fillId="6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</cellXfs>
  <cellStyles count="2">
    <cellStyle name="Normal" xfId="0" builtinId="0"/>
    <cellStyle name="Normal 2" xfId="1" xr:uid="{B8DB896D-E1E3-4BE6-B758-05741A3BA178}"/>
  </cellStyles>
  <dxfs count="0"/>
  <tableStyles count="0" defaultTableStyle="TableStyleMedium2" defaultPivotStyle="PivotStyleLight16"/>
  <colors>
    <mruColors>
      <color rgb="FFCDEFBF"/>
      <color rgb="FFE9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3EB1-DAE9-41A7-BD54-D7DDA3BCC40E}">
  <dimension ref="A1:F30"/>
  <sheetViews>
    <sheetView workbookViewId="0">
      <selection activeCell="J31" sqref="J31"/>
    </sheetView>
  </sheetViews>
  <sheetFormatPr baseColWidth="10" defaultRowHeight="14.5" x14ac:dyDescent="0.35"/>
  <cols>
    <col min="1" max="1" width="10.90625" style="6"/>
    <col min="2" max="2" width="21.90625" style="6" customWidth="1"/>
    <col min="3" max="4" width="23.6328125" customWidth="1"/>
    <col min="5" max="5" width="17.6328125" customWidth="1"/>
    <col min="6" max="6" width="15.36328125" customWidth="1"/>
  </cols>
  <sheetData>
    <row r="1" spans="1:6" x14ac:dyDescent="0.35">
      <c r="A1" s="5" t="s">
        <v>5</v>
      </c>
      <c r="B1" s="10" t="s">
        <v>37</v>
      </c>
      <c r="C1" s="10" t="s">
        <v>38</v>
      </c>
      <c r="D1" s="10" t="s">
        <v>72</v>
      </c>
      <c r="E1" s="1" t="s">
        <v>39</v>
      </c>
      <c r="F1" s="1" t="s">
        <v>40</v>
      </c>
    </row>
    <row r="2" spans="1:6" x14ac:dyDescent="0.35">
      <c r="A2" s="5">
        <v>1</v>
      </c>
      <c r="B2" s="5">
        <v>0</v>
      </c>
      <c r="C2">
        <v>0</v>
      </c>
      <c r="D2">
        <v>0</v>
      </c>
      <c r="E2">
        <v>60</v>
      </c>
      <c r="F2">
        <v>80</v>
      </c>
    </row>
    <row r="3" spans="1:6" x14ac:dyDescent="0.35">
      <c r="A3" s="5">
        <v>2</v>
      </c>
      <c r="B3" s="5">
        <f>1/6*1/3</f>
        <v>5.5555555555555552E-2</v>
      </c>
      <c r="C3">
        <v>0.10526315789473684</v>
      </c>
      <c r="D3">
        <v>0</v>
      </c>
      <c r="E3">
        <v>60</v>
      </c>
      <c r="F3">
        <v>80</v>
      </c>
    </row>
    <row r="4" spans="1:6" x14ac:dyDescent="0.35">
      <c r="A4" s="5">
        <v>3</v>
      </c>
      <c r="B4" s="5">
        <f t="shared" ref="B4:B5" si="0">1/6*1/3</f>
        <v>5.5555555555555552E-2</v>
      </c>
      <c r="C4">
        <v>5.2631578947368418E-2</v>
      </c>
      <c r="D4">
        <v>0</v>
      </c>
      <c r="E4">
        <v>60</v>
      </c>
      <c r="F4">
        <v>80</v>
      </c>
    </row>
    <row r="5" spans="1:6" x14ac:dyDescent="0.35">
      <c r="A5" s="5">
        <v>4</v>
      </c>
      <c r="B5" s="5">
        <f t="shared" si="0"/>
        <v>5.5555555555555552E-2</v>
      </c>
      <c r="C5">
        <v>5.2631578947368418E-2</v>
      </c>
      <c r="D5">
        <v>0</v>
      </c>
      <c r="E5">
        <v>60</v>
      </c>
      <c r="F5">
        <v>80</v>
      </c>
    </row>
    <row r="6" spans="1:6" x14ac:dyDescent="0.35">
      <c r="A6" s="5">
        <v>5</v>
      </c>
      <c r="B6" s="5">
        <v>0</v>
      </c>
      <c r="C6">
        <v>0</v>
      </c>
      <c r="D6">
        <v>0</v>
      </c>
      <c r="E6">
        <v>60</v>
      </c>
      <c r="F6">
        <v>80</v>
      </c>
    </row>
    <row r="7" spans="1:6" x14ac:dyDescent="0.35">
      <c r="A7" s="5">
        <v>6</v>
      </c>
      <c r="B7" s="5">
        <v>0</v>
      </c>
      <c r="C7">
        <v>0</v>
      </c>
      <c r="D7">
        <v>0</v>
      </c>
      <c r="E7">
        <v>60</v>
      </c>
      <c r="F7">
        <v>80</v>
      </c>
    </row>
    <row r="8" spans="1:6" x14ac:dyDescent="0.35">
      <c r="A8" s="5">
        <v>7</v>
      </c>
      <c r="B8" s="5">
        <v>0</v>
      </c>
      <c r="C8">
        <v>0</v>
      </c>
      <c r="D8">
        <v>0</v>
      </c>
      <c r="E8">
        <v>60</v>
      </c>
      <c r="F8">
        <v>80</v>
      </c>
    </row>
    <row r="9" spans="1:6" x14ac:dyDescent="0.35">
      <c r="A9" s="5">
        <v>8</v>
      </c>
      <c r="B9" s="5">
        <f>1/6*1/2</f>
        <v>8.3333333333333329E-2</v>
      </c>
      <c r="C9">
        <v>0.15789473684210525</v>
      </c>
      <c r="D9">
        <v>0</v>
      </c>
      <c r="E9">
        <v>60</v>
      </c>
      <c r="F9">
        <v>80</v>
      </c>
    </row>
    <row r="10" spans="1:6" x14ac:dyDescent="0.35">
      <c r="A10" s="5">
        <v>9</v>
      </c>
      <c r="B10" s="5">
        <v>0</v>
      </c>
      <c r="C10">
        <v>0</v>
      </c>
      <c r="D10">
        <v>0.2</v>
      </c>
      <c r="E10">
        <v>60</v>
      </c>
      <c r="F10">
        <v>80</v>
      </c>
    </row>
    <row r="11" spans="1:6" x14ac:dyDescent="0.35">
      <c r="A11" s="5">
        <v>10</v>
      </c>
      <c r="B11" s="5">
        <f>1/6*1/2</f>
        <v>8.3333333333333329E-2</v>
      </c>
      <c r="C11">
        <v>0</v>
      </c>
      <c r="D11">
        <v>0</v>
      </c>
      <c r="E11">
        <v>60</v>
      </c>
      <c r="F11">
        <v>80</v>
      </c>
    </row>
    <row r="12" spans="1:6" x14ac:dyDescent="0.35">
      <c r="A12" s="5">
        <v>11</v>
      </c>
      <c r="B12" s="5">
        <f t="shared" ref="B12:B16" si="1">1/6*1/5</f>
        <v>3.3333333333333333E-2</v>
      </c>
      <c r="C12">
        <v>0.10526315789473684</v>
      </c>
      <c r="D12">
        <v>0</v>
      </c>
      <c r="E12">
        <v>60</v>
      </c>
      <c r="F12">
        <v>80</v>
      </c>
    </row>
    <row r="13" spans="1:6" x14ac:dyDescent="0.35">
      <c r="A13" s="5">
        <v>12</v>
      </c>
      <c r="B13" s="5">
        <f t="shared" si="1"/>
        <v>3.3333333333333333E-2</v>
      </c>
      <c r="C13">
        <v>0.10526315789473684</v>
      </c>
      <c r="D13">
        <v>0</v>
      </c>
      <c r="E13">
        <v>60</v>
      </c>
      <c r="F13">
        <v>80</v>
      </c>
    </row>
    <row r="14" spans="1:6" x14ac:dyDescent="0.35">
      <c r="A14" s="5">
        <v>13</v>
      </c>
      <c r="B14" s="5">
        <f t="shared" si="1"/>
        <v>3.3333333333333333E-2</v>
      </c>
      <c r="C14">
        <v>5.2631578947368418E-2</v>
      </c>
      <c r="D14">
        <v>0</v>
      </c>
      <c r="E14">
        <v>60</v>
      </c>
      <c r="F14">
        <v>80</v>
      </c>
    </row>
    <row r="15" spans="1:6" x14ac:dyDescent="0.35">
      <c r="A15" s="5">
        <v>14</v>
      </c>
      <c r="B15" s="5">
        <f t="shared" si="1"/>
        <v>3.3333333333333333E-2</v>
      </c>
      <c r="C15">
        <v>5.2631578947368418E-2</v>
      </c>
      <c r="D15">
        <v>0</v>
      </c>
      <c r="E15">
        <v>60</v>
      </c>
      <c r="F15">
        <v>80</v>
      </c>
    </row>
    <row r="16" spans="1:6" x14ac:dyDescent="0.35">
      <c r="A16" s="5">
        <v>15</v>
      </c>
      <c r="B16" s="5">
        <f t="shared" si="1"/>
        <v>3.3333333333333333E-2</v>
      </c>
      <c r="C16">
        <v>5.2631578947368418E-2</v>
      </c>
      <c r="D16">
        <v>0</v>
      </c>
      <c r="E16">
        <v>60</v>
      </c>
      <c r="F16">
        <v>80</v>
      </c>
    </row>
    <row r="17" spans="1:6" x14ac:dyDescent="0.35">
      <c r="A17" s="5">
        <v>16</v>
      </c>
      <c r="B17" s="5">
        <v>0</v>
      </c>
      <c r="C17">
        <v>0</v>
      </c>
      <c r="D17">
        <v>0</v>
      </c>
      <c r="E17">
        <v>60</v>
      </c>
      <c r="F17">
        <v>80</v>
      </c>
    </row>
    <row r="18" spans="1:6" x14ac:dyDescent="0.35">
      <c r="A18" s="5">
        <v>17</v>
      </c>
      <c r="B18" s="5">
        <v>0</v>
      </c>
      <c r="C18">
        <v>0</v>
      </c>
      <c r="D18">
        <v>0</v>
      </c>
      <c r="E18">
        <v>60</v>
      </c>
      <c r="F18">
        <v>80</v>
      </c>
    </row>
    <row r="19" spans="1:6" x14ac:dyDescent="0.35">
      <c r="A19" s="5">
        <v>18</v>
      </c>
      <c r="B19" s="5">
        <v>0</v>
      </c>
      <c r="C19">
        <v>0</v>
      </c>
      <c r="D19">
        <v>0</v>
      </c>
      <c r="E19">
        <v>60</v>
      </c>
      <c r="F19">
        <v>80</v>
      </c>
    </row>
    <row r="20" spans="1:6" x14ac:dyDescent="0.35">
      <c r="A20" s="5">
        <v>19</v>
      </c>
      <c r="B20" s="5">
        <f xml:space="preserve"> 1/6</f>
        <v>0.16666666666666666</v>
      </c>
      <c r="C20">
        <v>5.2631578947368418E-2</v>
      </c>
      <c r="D20">
        <v>0</v>
      </c>
      <c r="E20">
        <v>60</v>
      </c>
      <c r="F20">
        <v>80</v>
      </c>
    </row>
    <row r="21" spans="1:6" x14ac:dyDescent="0.35">
      <c r="A21" s="5">
        <v>20</v>
      </c>
      <c r="B21" s="5">
        <f>1/6*1/3</f>
        <v>5.5555555555555552E-2</v>
      </c>
      <c r="C21">
        <v>0</v>
      </c>
      <c r="D21">
        <v>0</v>
      </c>
      <c r="E21">
        <v>60</v>
      </c>
      <c r="F21">
        <v>80</v>
      </c>
    </row>
    <row r="22" spans="1:6" x14ac:dyDescent="0.35">
      <c r="A22" s="5">
        <v>21</v>
      </c>
      <c r="B22" s="5">
        <v>0</v>
      </c>
      <c r="C22">
        <v>0</v>
      </c>
      <c r="D22">
        <v>0.7</v>
      </c>
      <c r="E22">
        <v>60</v>
      </c>
      <c r="F22">
        <v>80</v>
      </c>
    </row>
    <row r="23" spans="1:6" x14ac:dyDescent="0.35">
      <c r="A23" s="5">
        <v>22</v>
      </c>
      <c r="B23" s="5">
        <f>1/6*1/3*1/2</f>
        <v>2.7777777777777776E-2</v>
      </c>
      <c r="C23">
        <v>0</v>
      </c>
      <c r="D23">
        <v>0.04</v>
      </c>
      <c r="E23">
        <v>60</v>
      </c>
      <c r="F23">
        <v>80</v>
      </c>
    </row>
    <row r="24" spans="1:6" x14ac:dyDescent="0.35">
      <c r="A24" s="5">
        <v>23</v>
      </c>
      <c r="B24" s="5">
        <f>1/6*1/3*2</f>
        <v>0.1111111111111111</v>
      </c>
      <c r="C24">
        <v>5.2631578947368418E-2</v>
      </c>
      <c r="D24">
        <v>0</v>
      </c>
      <c r="E24">
        <v>60</v>
      </c>
      <c r="F24">
        <v>80</v>
      </c>
    </row>
    <row r="25" spans="1:6" x14ac:dyDescent="0.35">
      <c r="A25" s="5">
        <v>24</v>
      </c>
      <c r="B25" s="5">
        <v>0</v>
      </c>
      <c r="C25">
        <v>0</v>
      </c>
      <c r="D25">
        <v>0</v>
      </c>
      <c r="E25">
        <v>60</v>
      </c>
      <c r="F25">
        <v>80</v>
      </c>
    </row>
    <row r="26" spans="1:6" x14ac:dyDescent="0.35">
      <c r="A26" s="5">
        <v>25</v>
      </c>
      <c r="B26" s="5">
        <v>0</v>
      </c>
      <c r="C26">
        <v>0</v>
      </c>
      <c r="D26">
        <v>0.06</v>
      </c>
      <c r="E26">
        <v>60</v>
      </c>
      <c r="F26">
        <v>80</v>
      </c>
    </row>
    <row r="27" spans="1:6" x14ac:dyDescent="0.35">
      <c r="A27" s="5">
        <v>26</v>
      </c>
      <c r="B27" s="5">
        <f t="shared" ref="B27:B29" si="2">1/6*1/3</f>
        <v>5.5555555555555552E-2</v>
      </c>
      <c r="C27">
        <v>5.2631578947368418E-2</v>
      </c>
      <c r="D27">
        <v>0</v>
      </c>
      <c r="E27">
        <v>60</v>
      </c>
      <c r="F27">
        <v>80</v>
      </c>
    </row>
    <row r="28" spans="1:6" x14ac:dyDescent="0.35">
      <c r="A28" s="5">
        <v>27</v>
      </c>
      <c r="B28" s="5">
        <f t="shared" si="2"/>
        <v>5.5555555555555552E-2</v>
      </c>
      <c r="C28">
        <f>0.0526315789473684*2</f>
        <v>0.10526315789473679</v>
      </c>
      <c r="D28">
        <v>0</v>
      </c>
      <c r="E28">
        <v>60</v>
      </c>
      <c r="F28">
        <v>80</v>
      </c>
    </row>
    <row r="29" spans="1:6" x14ac:dyDescent="0.35">
      <c r="A29" s="5">
        <v>28</v>
      </c>
      <c r="B29" s="5">
        <f t="shared" si="2"/>
        <v>5.5555555555555552E-2</v>
      </c>
      <c r="C29">
        <v>0</v>
      </c>
      <c r="D29">
        <v>0</v>
      </c>
      <c r="E29">
        <v>60</v>
      </c>
      <c r="F29">
        <v>80</v>
      </c>
    </row>
    <row r="30" spans="1:6" x14ac:dyDescent="0.35">
      <c r="C30" s="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179A2-BD42-4849-A4A6-36CC037D9611}">
  <dimension ref="A1:J34"/>
  <sheetViews>
    <sheetView tabSelected="1" zoomScale="120" zoomScaleNormal="120" workbookViewId="0">
      <selection activeCell="F12" sqref="F12"/>
    </sheetView>
  </sheetViews>
  <sheetFormatPr baseColWidth="10" defaultRowHeight="14.5" x14ac:dyDescent="0.35"/>
  <cols>
    <col min="4" max="4" width="35.54296875" style="1" customWidth="1"/>
    <col min="5" max="6" width="21.453125" customWidth="1"/>
    <col min="7" max="7" width="28.54296875" style="1" customWidth="1"/>
    <col min="8" max="9" width="28.08984375" style="1" customWidth="1"/>
    <col min="15" max="15" width="16.90625" customWidth="1"/>
    <col min="16" max="16" width="19.54296875" customWidth="1"/>
    <col min="17" max="17" width="37.36328125" customWidth="1"/>
  </cols>
  <sheetData>
    <row r="1" spans="1:10" x14ac:dyDescent="0.35">
      <c r="A1" s="3" t="s">
        <v>7</v>
      </c>
      <c r="B1" s="1" t="s">
        <v>8</v>
      </c>
      <c r="C1" s="1" t="s">
        <v>9</v>
      </c>
      <c r="D1" s="1" t="s">
        <v>63</v>
      </c>
      <c r="E1" s="1" t="s">
        <v>10</v>
      </c>
      <c r="F1" s="1" t="s">
        <v>73</v>
      </c>
      <c r="G1" s="1" t="s">
        <v>64</v>
      </c>
      <c r="H1" s="1" t="s">
        <v>65</v>
      </c>
      <c r="I1" s="1" t="s">
        <v>71</v>
      </c>
      <c r="J1" s="2" t="s">
        <v>11</v>
      </c>
    </row>
    <row r="2" spans="1:10" x14ac:dyDescent="0.35">
      <c r="A2" s="3">
        <v>1</v>
      </c>
      <c r="B2" s="1">
        <v>1</v>
      </c>
      <c r="C2" s="1">
        <v>2</v>
      </c>
      <c r="D2" s="16">
        <v>0.14399999999999999</v>
      </c>
      <c r="E2" s="1">
        <v>1</v>
      </c>
      <c r="F2" s="1">
        <v>1</v>
      </c>
      <c r="G2" s="15">
        <v>12.144165672184601</v>
      </c>
      <c r="H2" s="1">
        <v>0.16800000000000001</v>
      </c>
      <c r="I2" s="1">
        <v>25</v>
      </c>
      <c r="J2" t="s">
        <v>12</v>
      </c>
    </row>
    <row r="3" spans="1:10" x14ac:dyDescent="0.35">
      <c r="A3" s="3">
        <v>2</v>
      </c>
      <c r="B3" s="1">
        <v>2</v>
      </c>
      <c r="C3" s="1">
        <v>3</v>
      </c>
      <c r="D3" s="16">
        <v>7.3899999999999999E-3</v>
      </c>
      <c r="E3" s="1">
        <v>1</v>
      </c>
      <c r="F3" s="1">
        <v>1</v>
      </c>
      <c r="G3" s="13">
        <v>10.592369476827299</v>
      </c>
      <c r="H3" s="1">
        <v>0.14699999999999999</v>
      </c>
      <c r="I3" s="1">
        <v>30</v>
      </c>
      <c r="J3" t="s">
        <v>13</v>
      </c>
    </row>
    <row r="4" spans="1:10" x14ac:dyDescent="0.35">
      <c r="A4" s="3">
        <v>3</v>
      </c>
      <c r="B4" s="1">
        <v>2</v>
      </c>
      <c r="C4" s="1">
        <v>4</v>
      </c>
      <c r="D4" s="16">
        <v>8.2699999999999996E-2</v>
      </c>
      <c r="E4" s="1">
        <v>1</v>
      </c>
      <c r="F4" s="1">
        <v>1</v>
      </c>
      <c r="G4" s="13">
        <v>2.51572575209808</v>
      </c>
      <c r="H4" s="1">
        <v>3.49E-2</v>
      </c>
      <c r="I4" s="1">
        <v>35</v>
      </c>
      <c r="J4" t="s">
        <v>14</v>
      </c>
    </row>
    <row r="5" spans="1:10" x14ac:dyDescent="0.35">
      <c r="A5" s="3">
        <v>4</v>
      </c>
      <c r="B5" s="1">
        <v>2</v>
      </c>
      <c r="C5" s="1">
        <v>6</v>
      </c>
      <c r="D5" s="16">
        <v>8.2699999999999996E-2</v>
      </c>
      <c r="E5" s="1">
        <v>1</v>
      </c>
      <c r="F5" s="1">
        <v>1</v>
      </c>
      <c r="G5" s="13">
        <v>2.51671121295412</v>
      </c>
      <c r="H5" s="1">
        <v>3.49E-2</v>
      </c>
      <c r="I5" s="1">
        <v>30</v>
      </c>
    </row>
    <row r="6" spans="1:10" x14ac:dyDescent="0.35">
      <c r="A6" s="3">
        <v>5</v>
      </c>
      <c r="B6" s="1">
        <v>3</v>
      </c>
      <c r="C6" s="1">
        <v>27</v>
      </c>
      <c r="D6" s="16">
        <v>7.6700000000000004E-2</v>
      </c>
      <c r="E6" s="1">
        <v>1</v>
      </c>
      <c r="F6" s="1">
        <v>0</v>
      </c>
      <c r="G6" s="13">
        <v>0</v>
      </c>
      <c r="H6" s="1">
        <v>1.4200000000000001E-2</v>
      </c>
      <c r="I6" s="1">
        <v>65</v>
      </c>
    </row>
    <row r="7" spans="1:10" x14ac:dyDescent="0.35">
      <c r="A7" s="3">
        <v>6</v>
      </c>
      <c r="B7" s="1">
        <v>4</v>
      </c>
      <c r="C7" s="1">
        <v>24</v>
      </c>
      <c r="D7" s="16">
        <v>3.0000000000000001E-3</v>
      </c>
      <c r="E7" s="1">
        <v>1</v>
      </c>
      <c r="F7" s="1">
        <v>1</v>
      </c>
      <c r="G7" s="13">
        <v>2.8794418944890601</v>
      </c>
      <c r="H7" s="1">
        <v>4.3099999999999999E-2</v>
      </c>
      <c r="I7" s="1">
        <v>20</v>
      </c>
    </row>
    <row r="8" spans="1:10" x14ac:dyDescent="0.35">
      <c r="A8" s="3">
        <v>7</v>
      </c>
      <c r="B8" s="1">
        <v>5</v>
      </c>
      <c r="C8" s="1">
        <v>6</v>
      </c>
      <c r="D8" s="16">
        <v>0.13200000000000001</v>
      </c>
      <c r="E8" s="1">
        <v>1</v>
      </c>
      <c r="F8" s="1">
        <v>0</v>
      </c>
      <c r="G8" s="13">
        <v>0</v>
      </c>
      <c r="H8" s="1">
        <v>4.4999999999999997E-3</v>
      </c>
      <c r="I8" s="1">
        <v>10</v>
      </c>
    </row>
    <row r="9" spans="1:10" x14ac:dyDescent="0.35">
      <c r="A9" s="3">
        <v>8</v>
      </c>
      <c r="B9" s="11">
        <v>6</v>
      </c>
      <c r="C9" s="11">
        <v>7</v>
      </c>
      <c r="D9" s="11" t="s">
        <v>62</v>
      </c>
      <c r="E9" s="11">
        <v>1.5</v>
      </c>
      <c r="F9" s="11">
        <v>0</v>
      </c>
      <c r="G9" s="13">
        <v>0</v>
      </c>
      <c r="H9" s="11">
        <v>3.49E-2</v>
      </c>
      <c r="I9" s="11"/>
    </row>
    <row r="10" spans="1:10" x14ac:dyDescent="0.35">
      <c r="A10" s="3">
        <v>9</v>
      </c>
      <c r="B10" s="1">
        <v>6</v>
      </c>
      <c r="C10" s="1">
        <v>8</v>
      </c>
      <c r="D10" s="16">
        <v>8.2699999999999996E-2</v>
      </c>
      <c r="E10" s="1">
        <v>1</v>
      </c>
      <c r="F10" s="1">
        <v>1</v>
      </c>
      <c r="G10" s="13">
        <v>2.5140989794331499</v>
      </c>
      <c r="H10" s="1">
        <v>3.49E-2</v>
      </c>
      <c r="I10" s="1">
        <v>25</v>
      </c>
    </row>
    <row r="11" spans="1:10" x14ac:dyDescent="0.35">
      <c r="A11" s="3">
        <v>10</v>
      </c>
      <c r="B11" s="1">
        <v>7</v>
      </c>
      <c r="C11" s="1">
        <v>4</v>
      </c>
      <c r="D11" s="16">
        <v>0.12</v>
      </c>
      <c r="E11" s="1">
        <v>1</v>
      </c>
      <c r="F11" s="1">
        <v>0</v>
      </c>
      <c r="G11" s="13">
        <v>0</v>
      </c>
      <c r="H11" s="1">
        <v>1.9800000000000002E-2</v>
      </c>
      <c r="I11" s="1">
        <v>10</v>
      </c>
    </row>
    <row r="12" spans="1:10" x14ac:dyDescent="0.35">
      <c r="A12" s="3">
        <v>11</v>
      </c>
      <c r="B12" s="14">
        <v>8</v>
      </c>
      <c r="C12" s="14">
        <v>9</v>
      </c>
      <c r="D12" s="16">
        <v>3.1199999999999999E-3</v>
      </c>
      <c r="E12" s="1">
        <v>1</v>
      </c>
      <c r="F12" s="1">
        <v>0</v>
      </c>
      <c r="G12" s="13">
        <v>0</v>
      </c>
      <c r="H12" s="1">
        <v>1.06E-3</v>
      </c>
      <c r="I12" s="1">
        <v>10</v>
      </c>
    </row>
    <row r="13" spans="1:10" x14ac:dyDescent="0.35">
      <c r="A13" s="3">
        <v>12</v>
      </c>
      <c r="B13" s="1">
        <v>8</v>
      </c>
      <c r="C13" s="1">
        <v>10</v>
      </c>
      <c r="D13" s="16">
        <v>2.5999999999999998E-4</v>
      </c>
      <c r="E13" s="1">
        <v>1</v>
      </c>
      <c r="F13" s="1">
        <v>0</v>
      </c>
      <c r="G13" s="13">
        <v>0</v>
      </c>
      <c r="H13" s="1">
        <f>0.0127</f>
        <v>1.2699999999999999E-2</v>
      </c>
      <c r="I13" s="1">
        <v>20</v>
      </c>
    </row>
    <row r="14" spans="1:10" x14ac:dyDescent="0.35">
      <c r="A14" s="3">
        <v>13</v>
      </c>
      <c r="B14" s="1">
        <v>10</v>
      </c>
      <c r="C14" s="1">
        <v>11</v>
      </c>
      <c r="D14" s="16">
        <v>9.3599999999999998E-4</v>
      </c>
      <c r="E14" s="1">
        <v>1</v>
      </c>
      <c r="F14" s="1">
        <v>0</v>
      </c>
      <c r="G14" s="13">
        <v>0</v>
      </c>
      <c r="H14" s="1">
        <v>3.5300000000000002E-3</v>
      </c>
      <c r="I14" s="1">
        <v>25</v>
      </c>
    </row>
    <row r="15" spans="1:10" x14ac:dyDescent="0.35">
      <c r="A15" s="3">
        <v>14</v>
      </c>
      <c r="B15" s="1">
        <v>11</v>
      </c>
      <c r="C15" s="1">
        <v>12</v>
      </c>
      <c r="D15" s="16">
        <v>4.0700000000000003E-4</v>
      </c>
      <c r="E15" s="1">
        <v>1</v>
      </c>
      <c r="F15" s="1">
        <v>0</v>
      </c>
      <c r="G15" s="13">
        <v>0</v>
      </c>
      <c r="H15" s="1">
        <v>8.1099999999999992E-3</v>
      </c>
      <c r="I15" s="1">
        <v>30</v>
      </c>
    </row>
    <row r="16" spans="1:10" x14ac:dyDescent="0.35">
      <c r="A16" s="3">
        <v>15</v>
      </c>
      <c r="B16" s="1">
        <v>12</v>
      </c>
      <c r="C16" s="1">
        <v>13</v>
      </c>
      <c r="D16" s="16">
        <v>1.4E-2</v>
      </c>
      <c r="E16" s="1">
        <v>1</v>
      </c>
      <c r="F16" s="1">
        <v>1</v>
      </c>
      <c r="G16" s="13">
        <v>3.1548935917990901</v>
      </c>
      <c r="H16" s="1">
        <v>5.2400000000000002E-2</v>
      </c>
      <c r="I16" s="1">
        <v>35</v>
      </c>
    </row>
    <row r="17" spans="1:10" x14ac:dyDescent="0.35">
      <c r="A17" s="3">
        <v>16</v>
      </c>
      <c r="B17" s="11">
        <v>13</v>
      </c>
      <c r="C17" s="11">
        <v>14</v>
      </c>
      <c r="D17" s="11" t="s">
        <v>62</v>
      </c>
      <c r="E17" s="11">
        <v>1.5</v>
      </c>
      <c r="F17" s="11">
        <v>0</v>
      </c>
      <c r="G17" s="13">
        <v>0</v>
      </c>
      <c r="H17" s="11">
        <v>3.49E-2</v>
      </c>
      <c r="I17" s="11"/>
    </row>
    <row r="18" spans="1:10" x14ac:dyDescent="0.35">
      <c r="A18" s="3">
        <v>17</v>
      </c>
      <c r="B18" s="1">
        <v>14</v>
      </c>
      <c r="C18" s="1">
        <v>27</v>
      </c>
      <c r="D18" s="16">
        <v>6.4900000000000001E-3</v>
      </c>
      <c r="E18" s="1">
        <v>1</v>
      </c>
      <c r="F18" s="1">
        <v>1</v>
      </c>
      <c r="G18" s="13">
        <v>8.1613839771565999</v>
      </c>
      <c r="H18" s="1">
        <v>0.113</v>
      </c>
      <c r="I18" s="1">
        <v>65</v>
      </c>
      <c r="J18" s="4"/>
    </row>
    <row r="19" spans="1:10" x14ac:dyDescent="0.35">
      <c r="A19" s="3">
        <v>18</v>
      </c>
      <c r="B19" s="1">
        <v>14</v>
      </c>
      <c r="C19" s="1">
        <v>19</v>
      </c>
      <c r="D19" s="1">
        <v>7.9399999999999991E-3</v>
      </c>
      <c r="E19" s="1">
        <v>1</v>
      </c>
      <c r="F19" s="1">
        <v>1</v>
      </c>
      <c r="G19" s="13">
        <v>13.8744413519457</v>
      </c>
      <c r="H19" s="1">
        <v>0.19600000000000001</v>
      </c>
      <c r="I19" s="1">
        <v>80</v>
      </c>
    </row>
    <row r="20" spans="1:10" x14ac:dyDescent="0.35">
      <c r="A20" s="3">
        <v>19</v>
      </c>
      <c r="B20" s="1">
        <v>15</v>
      </c>
      <c r="C20" s="1">
        <v>11</v>
      </c>
      <c r="D20" s="1">
        <v>3.4699999999999998E-4</v>
      </c>
      <c r="E20" s="1">
        <v>1</v>
      </c>
      <c r="F20" s="1">
        <v>0</v>
      </c>
      <c r="G20" s="13">
        <v>0</v>
      </c>
      <c r="H20" s="1">
        <f>0.00952</f>
        <v>9.5200000000000007E-3</v>
      </c>
      <c r="I20" s="1">
        <v>15</v>
      </c>
    </row>
    <row r="21" spans="1:10" x14ac:dyDescent="0.35">
      <c r="A21" s="3">
        <v>20</v>
      </c>
      <c r="B21" s="1">
        <v>15</v>
      </c>
      <c r="C21" s="1">
        <v>12</v>
      </c>
      <c r="D21" s="1">
        <v>1.49E-2</v>
      </c>
      <c r="E21" s="1">
        <v>1</v>
      </c>
      <c r="F21" s="1">
        <v>1</v>
      </c>
      <c r="G21" s="13">
        <v>2.9840162254212301</v>
      </c>
      <c r="H21" s="1">
        <v>4.9200000000000001E-2</v>
      </c>
      <c r="I21" s="1">
        <v>20</v>
      </c>
    </row>
    <row r="22" spans="1:10" x14ac:dyDescent="0.35">
      <c r="A22" s="3">
        <v>21</v>
      </c>
      <c r="B22" s="11">
        <v>16</v>
      </c>
      <c r="C22" s="11">
        <v>15</v>
      </c>
      <c r="D22" s="11" t="s">
        <v>62</v>
      </c>
      <c r="E22" s="11">
        <v>1.5</v>
      </c>
      <c r="F22" s="11">
        <v>0</v>
      </c>
      <c r="G22" s="13">
        <v>0</v>
      </c>
      <c r="H22" s="11">
        <v>3.49E-2</v>
      </c>
      <c r="I22" s="11"/>
    </row>
    <row r="23" spans="1:10" x14ac:dyDescent="0.35">
      <c r="A23" s="3">
        <v>22</v>
      </c>
      <c r="B23" s="1">
        <v>17</v>
      </c>
      <c r="C23" s="1">
        <v>16</v>
      </c>
      <c r="D23" s="16">
        <v>0.115</v>
      </c>
      <c r="E23" s="1">
        <v>1</v>
      </c>
      <c r="F23" s="1">
        <v>0</v>
      </c>
      <c r="G23" s="13">
        <v>0</v>
      </c>
      <c r="H23" s="1">
        <v>6.3499999999999997E-3</v>
      </c>
      <c r="I23" s="1">
        <v>25</v>
      </c>
    </row>
    <row r="24" spans="1:10" x14ac:dyDescent="0.35">
      <c r="A24" s="3">
        <v>23</v>
      </c>
      <c r="B24" s="1">
        <v>18</v>
      </c>
      <c r="C24" s="1">
        <v>19</v>
      </c>
      <c r="D24" s="1">
        <v>3.0499999999999999E-2</v>
      </c>
      <c r="E24" s="1">
        <v>1</v>
      </c>
      <c r="F24" s="1">
        <v>0</v>
      </c>
      <c r="G24" s="13">
        <v>0</v>
      </c>
      <c r="H24" s="1">
        <v>3.8E-3</v>
      </c>
      <c r="I24" s="1">
        <v>25</v>
      </c>
    </row>
    <row r="25" spans="1:10" x14ac:dyDescent="0.35">
      <c r="A25" s="3">
        <v>24</v>
      </c>
      <c r="B25" s="11">
        <v>19</v>
      </c>
      <c r="C25" s="11">
        <v>20</v>
      </c>
      <c r="D25" s="11" t="s">
        <v>62</v>
      </c>
      <c r="E25" s="11">
        <v>1.5</v>
      </c>
      <c r="F25" s="11">
        <v>0</v>
      </c>
      <c r="G25" s="13">
        <v>0</v>
      </c>
      <c r="H25" s="11">
        <v>3.49E-2</v>
      </c>
      <c r="I25" s="11"/>
    </row>
    <row r="26" spans="1:10" x14ac:dyDescent="0.35">
      <c r="A26" s="3">
        <v>25</v>
      </c>
      <c r="B26" s="1">
        <v>20</v>
      </c>
      <c r="C26" s="1">
        <v>22</v>
      </c>
      <c r="D26" s="16">
        <v>9.6500000000000001E-5</v>
      </c>
      <c r="E26" s="1">
        <v>1</v>
      </c>
      <c r="F26" s="1">
        <v>1</v>
      </c>
      <c r="G26" s="13">
        <v>2.45980414269077</v>
      </c>
      <c r="H26" s="1">
        <f>0.0342</f>
        <v>3.4200000000000001E-2</v>
      </c>
      <c r="I26" s="1">
        <v>75</v>
      </c>
    </row>
    <row r="27" spans="1:10" x14ac:dyDescent="0.35">
      <c r="A27" s="3">
        <v>26</v>
      </c>
      <c r="B27" s="1">
        <v>20</v>
      </c>
      <c r="C27" s="1">
        <v>23</v>
      </c>
      <c r="D27" s="16">
        <v>2.8400000000000001E-3</v>
      </c>
      <c r="E27" s="1">
        <v>1</v>
      </c>
      <c r="F27" s="1">
        <v>1</v>
      </c>
      <c r="G27" s="13">
        <v>3.01477511428822</v>
      </c>
      <c r="H27" s="1">
        <f>0.0408</f>
        <v>4.0800000000000003E-2</v>
      </c>
      <c r="I27" s="1">
        <v>25</v>
      </c>
    </row>
    <row r="28" spans="1:10" x14ac:dyDescent="0.35">
      <c r="A28" s="3">
        <v>27</v>
      </c>
      <c r="B28" s="14">
        <v>19</v>
      </c>
      <c r="C28" s="14">
        <v>21</v>
      </c>
      <c r="D28" s="16">
        <v>3.0499999999999999E-2</v>
      </c>
      <c r="E28" s="1">
        <v>1</v>
      </c>
      <c r="F28" s="1">
        <v>0</v>
      </c>
      <c r="G28" s="13">
        <v>0</v>
      </c>
      <c r="H28" s="1">
        <v>3.8E-3</v>
      </c>
      <c r="I28" s="1">
        <v>40</v>
      </c>
    </row>
    <row r="29" spans="1:10" x14ac:dyDescent="0.35">
      <c r="A29" s="3">
        <v>28</v>
      </c>
      <c r="B29" s="1">
        <v>23</v>
      </c>
      <c r="C29" s="1">
        <v>22</v>
      </c>
      <c r="D29" s="16">
        <v>6.41E-5</v>
      </c>
      <c r="E29" s="1">
        <v>1</v>
      </c>
      <c r="F29" s="1">
        <v>0</v>
      </c>
      <c r="G29" s="13">
        <v>0</v>
      </c>
      <c r="H29" s="1">
        <f>0.0515</f>
        <v>5.1499999999999997E-2</v>
      </c>
      <c r="I29" s="1">
        <v>80</v>
      </c>
    </row>
    <row r="30" spans="1:10" x14ac:dyDescent="0.35">
      <c r="A30" s="3">
        <v>29</v>
      </c>
      <c r="B30" s="1">
        <v>23</v>
      </c>
      <c r="C30" s="1">
        <v>27</v>
      </c>
      <c r="D30" s="16">
        <v>8.4099999999999995E-4</v>
      </c>
      <c r="E30" s="1">
        <v>1</v>
      </c>
      <c r="F30" s="1">
        <v>1</v>
      </c>
      <c r="G30" s="13">
        <v>5.2457465049436403</v>
      </c>
      <c r="H30" s="1">
        <v>7.22E-2</v>
      </c>
      <c r="I30" s="1">
        <v>90</v>
      </c>
    </row>
    <row r="31" spans="1:10" x14ac:dyDescent="0.35">
      <c r="A31" s="3">
        <v>30</v>
      </c>
      <c r="B31" s="1">
        <v>24</v>
      </c>
      <c r="C31" s="1">
        <v>13</v>
      </c>
      <c r="D31" s="16">
        <v>2.0899999999999998E-2</v>
      </c>
      <c r="E31" s="1">
        <v>1</v>
      </c>
      <c r="F31" s="1">
        <v>1</v>
      </c>
      <c r="G31" s="13">
        <v>4.5233481122864596</v>
      </c>
      <c r="H31" s="1">
        <v>7.4399999999999994E-2</v>
      </c>
      <c r="I31" s="1">
        <v>35</v>
      </c>
    </row>
    <row r="32" spans="1:10" x14ac:dyDescent="0.35">
      <c r="A32" s="3">
        <v>31</v>
      </c>
      <c r="B32" s="1">
        <v>26</v>
      </c>
      <c r="C32" s="1">
        <v>25</v>
      </c>
      <c r="D32" s="16">
        <v>5.1200000000000002E-2</v>
      </c>
      <c r="E32" s="1">
        <v>1</v>
      </c>
      <c r="F32" s="1">
        <v>0</v>
      </c>
      <c r="G32" s="13">
        <v>0</v>
      </c>
      <c r="H32" s="1">
        <v>1.43E-2</v>
      </c>
      <c r="I32" s="1">
        <v>10</v>
      </c>
    </row>
    <row r="33" spans="1:9" x14ac:dyDescent="0.35">
      <c r="A33" s="3">
        <v>32</v>
      </c>
      <c r="B33" s="1">
        <v>27</v>
      </c>
      <c r="C33" s="1">
        <v>26</v>
      </c>
      <c r="D33" s="16">
        <v>0.10100000000000001</v>
      </c>
      <c r="E33" s="1">
        <v>1</v>
      </c>
      <c r="F33" s="1">
        <v>0</v>
      </c>
      <c r="G33" s="13">
        <v>0</v>
      </c>
      <c r="H33" s="1">
        <v>3.09E-2</v>
      </c>
      <c r="I33" s="1">
        <v>15</v>
      </c>
    </row>
    <row r="34" spans="1:9" x14ac:dyDescent="0.35">
      <c r="A34" s="3">
        <v>33</v>
      </c>
      <c r="B34" s="1">
        <v>27</v>
      </c>
      <c r="C34" s="1">
        <v>28</v>
      </c>
      <c r="D34" s="16">
        <v>6.0099999999999997E-3</v>
      </c>
      <c r="E34" s="1">
        <v>1</v>
      </c>
      <c r="F34" s="1">
        <v>1</v>
      </c>
      <c r="G34" s="13">
        <v>1.54597653006544</v>
      </c>
      <c r="H34" s="1">
        <v>2.1499999999999998E-2</v>
      </c>
      <c r="I34" s="1">
        <v>10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1FD8-4E4F-450A-8E59-39BDE952C173}">
  <dimension ref="A1:H34"/>
  <sheetViews>
    <sheetView workbookViewId="0">
      <selection activeCell="I14" sqref="I14"/>
    </sheetView>
  </sheetViews>
  <sheetFormatPr baseColWidth="10" defaultRowHeight="14.5" x14ac:dyDescent="0.35"/>
  <cols>
    <col min="1" max="1" width="49.54296875" customWidth="1"/>
    <col min="2" max="3" width="37.36328125" customWidth="1"/>
    <col min="4" max="4" width="14.6328125" customWidth="1"/>
  </cols>
  <sheetData>
    <row r="1" spans="1:8" x14ac:dyDescent="0.35">
      <c r="A1" s="1" t="s">
        <v>63</v>
      </c>
      <c r="B1" s="1" t="s">
        <v>71</v>
      </c>
      <c r="C1" s="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 x14ac:dyDescent="0.35">
      <c r="A2" s="1">
        <v>0.14399999999999999</v>
      </c>
      <c r="B2" s="1">
        <v>25</v>
      </c>
      <c r="C2" s="1">
        <v>0.16800000000000001</v>
      </c>
      <c r="D2">
        <v>285.14999999999998</v>
      </c>
      <c r="E2">
        <v>0.71560000000000001</v>
      </c>
      <c r="F2">
        <v>0.8</v>
      </c>
      <c r="G2">
        <v>1.0129999999999999</v>
      </c>
      <c r="H2">
        <v>288.14999999999998</v>
      </c>
    </row>
    <row r="3" spans="1:8" x14ac:dyDescent="0.35">
      <c r="A3" s="1">
        <v>7.3899999999999999E-3</v>
      </c>
      <c r="B3" s="1">
        <v>30</v>
      </c>
      <c r="C3" s="1">
        <v>0.14699999999999999</v>
      </c>
      <c r="D3">
        <v>285.14999999999998</v>
      </c>
      <c r="E3">
        <v>0.71560000000000001</v>
      </c>
      <c r="F3">
        <v>0.8</v>
      </c>
      <c r="G3">
        <v>1.0129999999999999</v>
      </c>
      <c r="H3">
        <v>288.14999999999998</v>
      </c>
    </row>
    <row r="4" spans="1:8" x14ac:dyDescent="0.35">
      <c r="A4" s="1">
        <v>8.2699999999999996E-2</v>
      </c>
      <c r="B4" s="1">
        <v>35</v>
      </c>
      <c r="C4" s="1">
        <v>3.49E-2</v>
      </c>
      <c r="D4">
        <v>285.14999999999998</v>
      </c>
      <c r="E4">
        <v>0.71560000000000001</v>
      </c>
      <c r="F4">
        <v>0.8</v>
      </c>
      <c r="G4">
        <v>1.0129999999999999</v>
      </c>
      <c r="H4">
        <v>288.14999999999998</v>
      </c>
    </row>
    <row r="5" spans="1:8" x14ac:dyDescent="0.35">
      <c r="A5" s="1">
        <v>8.2699999999999996E-2</v>
      </c>
      <c r="B5" s="1">
        <v>30</v>
      </c>
      <c r="C5" s="1">
        <v>3.49E-2</v>
      </c>
      <c r="D5">
        <v>285.14999999999998</v>
      </c>
      <c r="E5">
        <v>0.71560000000000001</v>
      </c>
      <c r="F5">
        <v>0.8</v>
      </c>
      <c r="G5">
        <v>1.0129999999999999</v>
      </c>
      <c r="H5">
        <v>288.14999999999998</v>
      </c>
    </row>
    <row r="6" spans="1:8" x14ac:dyDescent="0.35">
      <c r="A6" s="1">
        <v>7.6700000000000004E-2</v>
      </c>
      <c r="B6" s="1">
        <v>65</v>
      </c>
      <c r="C6" s="1">
        <v>1.4200000000000001E-2</v>
      </c>
      <c r="D6">
        <v>285.14999999999998</v>
      </c>
      <c r="E6">
        <v>0.71560000000000001</v>
      </c>
      <c r="F6">
        <v>0.8</v>
      </c>
      <c r="G6">
        <v>1.0129999999999999</v>
      </c>
      <c r="H6">
        <v>288.14999999999998</v>
      </c>
    </row>
    <row r="7" spans="1:8" x14ac:dyDescent="0.35">
      <c r="A7" s="1">
        <v>3.0000000000000001E-3</v>
      </c>
      <c r="B7" s="1">
        <v>20</v>
      </c>
      <c r="C7" s="1">
        <v>4.3099999999999999E-2</v>
      </c>
      <c r="D7">
        <v>285.14999999999998</v>
      </c>
      <c r="E7">
        <v>0.71560000000000001</v>
      </c>
      <c r="F7">
        <v>0.8</v>
      </c>
      <c r="G7">
        <v>1.0129999999999999</v>
      </c>
      <c r="H7">
        <v>288.14999999999998</v>
      </c>
    </row>
    <row r="8" spans="1:8" x14ac:dyDescent="0.35">
      <c r="A8" s="1">
        <v>0.13200000000000001</v>
      </c>
      <c r="B8" s="1">
        <v>10</v>
      </c>
      <c r="C8" s="1">
        <v>4.4999999999999997E-3</v>
      </c>
      <c r="D8">
        <v>285.14999999999998</v>
      </c>
      <c r="E8">
        <v>0.71560000000000001</v>
      </c>
      <c r="F8">
        <v>0.8</v>
      </c>
      <c r="G8">
        <v>1.0129999999999999</v>
      </c>
      <c r="H8">
        <v>288.14999999999998</v>
      </c>
    </row>
    <row r="9" spans="1:8" x14ac:dyDescent="0.35">
      <c r="A9" s="11" t="s">
        <v>62</v>
      </c>
      <c r="B9" s="11"/>
      <c r="C9" s="11" t="s">
        <v>62</v>
      </c>
      <c r="D9">
        <v>285.14999999999998</v>
      </c>
      <c r="E9">
        <v>0.71560000000000001</v>
      </c>
      <c r="F9">
        <v>0.8</v>
      </c>
      <c r="G9">
        <v>1.0129999999999999</v>
      </c>
      <c r="H9">
        <v>288.14999999999998</v>
      </c>
    </row>
    <row r="10" spans="1:8" x14ac:dyDescent="0.35">
      <c r="A10" s="1">
        <v>8.2699999999999996E-2</v>
      </c>
      <c r="B10" s="1">
        <v>25</v>
      </c>
      <c r="C10" s="1">
        <v>3.49E-2</v>
      </c>
      <c r="D10">
        <v>285.14999999999998</v>
      </c>
      <c r="E10">
        <v>0.71560000000000001</v>
      </c>
      <c r="F10">
        <v>0.8</v>
      </c>
      <c r="G10">
        <v>1.0129999999999999</v>
      </c>
      <c r="H10">
        <v>288.14999999999998</v>
      </c>
    </row>
    <row r="11" spans="1:8" x14ac:dyDescent="0.35">
      <c r="A11" s="1">
        <v>0.12</v>
      </c>
      <c r="B11" s="1">
        <v>10</v>
      </c>
      <c r="C11" s="1">
        <v>1.9800000000000002E-2</v>
      </c>
      <c r="D11">
        <v>285.14999999999998</v>
      </c>
      <c r="E11">
        <v>0.71560000000000001</v>
      </c>
      <c r="F11">
        <v>0.8</v>
      </c>
      <c r="G11">
        <v>1.0129999999999999</v>
      </c>
      <c r="H11">
        <v>288.14999999999998</v>
      </c>
    </row>
    <row r="12" spans="1:8" x14ac:dyDescent="0.35">
      <c r="A12" s="1">
        <v>3.1199999999999999E-3</v>
      </c>
      <c r="B12" s="1">
        <v>10</v>
      </c>
      <c r="C12" s="1">
        <v>1.06E-3</v>
      </c>
      <c r="D12">
        <v>285.14999999999998</v>
      </c>
      <c r="E12">
        <v>0.71560000000000001</v>
      </c>
      <c r="F12">
        <v>0.8</v>
      </c>
      <c r="G12">
        <v>1.0129999999999999</v>
      </c>
      <c r="H12">
        <v>288.14999999999998</v>
      </c>
    </row>
    <row r="13" spans="1:8" x14ac:dyDescent="0.35">
      <c r="A13" s="12">
        <v>2.5999999999999998E-4</v>
      </c>
      <c r="B13" s="12">
        <v>20</v>
      </c>
      <c r="C13" s="12">
        <f>0.0127</f>
        <v>1.2699999999999999E-2</v>
      </c>
      <c r="D13">
        <v>285.14999999999998</v>
      </c>
      <c r="E13">
        <v>0.71560000000000001</v>
      </c>
      <c r="F13">
        <v>0.8</v>
      </c>
      <c r="G13">
        <v>1.0129999999999999</v>
      </c>
      <c r="H13">
        <v>288.14999999999998</v>
      </c>
    </row>
    <row r="14" spans="1:8" x14ac:dyDescent="0.35">
      <c r="A14" s="1">
        <v>9.3599999999999998E-4</v>
      </c>
      <c r="B14" s="1">
        <v>25</v>
      </c>
      <c r="C14" s="1">
        <v>3.5300000000000002E-3</v>
      </c>
      <c r="D14">
        <v>285.14999999999998</v>
      </c>
      <c r="E14">
        <v>0.71560000000000001</v>
      </c>
      <c r="F14">
        <v>0.8</v>
      </c>
      <c r="G14">
        <v>1.0129999999999999</v>
      </c>
      <c r="H14">
        <v>288.14999999999998</v>
      </c>
    </row>
    <row r="15" spans="1:8" x14ac:dyDescent="0.35">
      <c r="A15" s="1">
        <v>4.0700000000000003E-4</v>
      </c>
      <c r="B15" s="1">
        <v>30</v>
      </c>
      <c r="C15" s="1">
        <v>8.1099999999999992E-3</v>
      </c>
      <c r="D15">
        <v>285.14999999999998</v>
      </c>
      <c r="E15">
        <v>0.71560000000000001</v>
      </c>
      <c r="F15">
        <v>0.8</v>
      </c>
      <c r="G15">
        <v>1.0129999999999999</v>
      </c>
      <c r="H15">
        <v>288.14999999999998</v>
      </c>
    </row>
    <row r="16" spans="1:8" x14ac:dyDescent="0.35">
      <c r="A16" s="1">
        <v>1.4E-2</v>
      </c>
      <c r="B16" s="1">
        <v>35</v>
      </c>
      <c r="C16" s="1">
        <v>5.2400000000000002E-2</v>
      </c>
      <c r="D16">
        <v>285.14999999999998</v>
      </c>
      <c r="E16">
        <v>0.71560000000000001</v>
      </c>
      <c r="F16">
        <v>0.8</v>
      </c>
      <c r="G16">
        <v>1.0129999999999999</v>
      </c>
      <c r="H16">
        <v>288.14999999999998</v>
      </c>
    </row>
    <row r="17" spans="1:8" x14ac:dyDescent="0.35">
      <c r="A17" s="11" t="s">
        <v>62</v>
      </c>
      <c r="B17" s="11"/>
      <c r="C17" s="11" t="s">
        <v>62</v>
      </c>
      <c r="D17">
        <v>285.14999999999998</v>
      </c>
      <c r="E17">
        <v>0.71560000000000001</v>
      </c>
      <c r="F17">
        <v>0.8</v>
      </c>
      <c r="G17">
        <v>1.0129999999999999</v>
      </c>
      <c r="H17">
        <v>288.14999999999998</v>
      </c>
    </row>
    <row r="18" spans="1:8" x14ac:dyDescent="0.35">
      <c r="A18" s="1">
        <v>6.4900000000000001E-3</v>
      </c>
      <c r="B18" s="1">
        <v>65</v>
      </c>
      <c r="C18" s="1">
        <v>0.113</v>
      </c>
      <c r="D18">
        <v>285.14999999999998</v>
      </c>
      <c r="E18">
        <v>0.71560000000000001</v>
      </c>
      <c r="F18">
        <v>0.8</v>
      </c>
      <c r="G18">
        <v>1.0129999999999999</v>
      </c>
      <c r="H18">
        <v>288.14999999999998</v>
      </c>
    </row>
    <row r="19" spans="1:8" x14ac:dyDescent="0.35">
      <c r="A19" s="1">
        <v>7.9399999999999991E-3</v>
      </c>
      <c r="B19" s="1">
        <v>80</v>
      </c>
      <c r="C19" s="1">
        <v>0.19600000000000001</v>
      </c>
      <c r="D19">
        <v>285.14999999999998</v>
      </c>
      <c r="E19">
        <v>0.71560000000000001</v>
      </c>
      <c r="F19">
        <v>0.8</v>
      </c>
      <c r="G19">
        <v>1.0129999999999999</v>
      </c>
      <c r="H19">
        <v>288.14999999999998</v>
      </c>
    </row>
    <row r="20" spans="1:8" x14ac:dyDescent="0.35">
      <c r="A20" s="12">
        <v>3.4699999999999998E-4</v>
      </c>
      <c r="B20" s="12">
        <v>15</v>
      </c>
      <c r="C20" s="12">
        <f>0.00952</f>
        <v>9.5200000000000007E-3</v>
      </c>
      <c r="D20">
        <v>285.14999999999998</v>
      </c>
      <c r="E20">
        <v>0.71560000000000001</v>
      </c>
      <c r="F20">
        <v>0.8</v>
      </c>
      <c r="G20">
        <v>1.0129999999999999</v>
      </c>
      <c r="H20">
        <v>288.14999999999998</v>
      </c>
    </row>
    <row r="21" spans="1:8" x14ac:dyDescent="0.35">
      <c r="A21" s="1">
        <v>1.49E-2</v>
      </c>
      <c r="B21" s="1">
        <v>20</v>
      </c>
      <c r="C21" s="1">
        <v>4.9200000000000001E-2</v>
      </c>
      <c r="D21">
        <v>285.14999999999998</v>
      </c>
      <c r="E21">
        <v>0.71560000000000001</v>
      </c>
      <c r="F21">
        <v>0.8</v>
      </c>
      <c r="G21">
        <v>1.0129999999999999</v>
      </c>
      <c r="H21">
        <v>288.14999999999998</v>
      </c>
    </row>
    <row r="22" spans="1:8" x14ac:dyDescent="0.35">
      <c r="A22" s="11" t="s">
        <v>62</v>
      </c>
      <c r="B22" s="11"/>
      <c r="C22" s="11" t="s">
        <v>62</v>
      </c>
      <c r="D22">
        <v>285.14999999999998</v>
      </c>
      <c r="E22">
        <v>0.71560000000000001</v>
      </c>
      <c r="F22">
        <v>0.8</v>
      </c>
      <c r="G22">
        <v>1.0129999999999999</v>
      </c>
      <c r="H22">
        <v>288.14999999999998</v>
      </c>
    </row>
    <row r="23" spans="1:8" x14ac:dyDescent="0.35">
      <c r="A23" s="1">
        <v>0.115</v>
      </c>
      <c r="B23" s="1">
        <v>25</v>
      </c>
      <c r="C23" s="1">
        <v>6.3499999999999997E-3</v>
      </c>
      <c r="D23">
        <v>285.14999999999998</v>
      </c>
      <c r="E23">
        <v>0.71560000000000001</v>
      </c>
      <c r="F23">
        <v>0.8</v>
      </c>
      <c r="G23">
        <v>1.0129999999999999</v>
      </c>
      <c r="H23">
        <v>288.14999999999998</v>
      </c>
    </row>
    <row r="24" spans="1:8" x14ac:dyDescent="0.35">
      <c r="A24" s="1">
        <v>3.0499999999999999E-2</v>
      </c>
      <c r="B24" s="1">
        <v>25</v>
      </c>
      <c r="C24" s="1">
        <v>3.8E-3</v>
      </c>
      <c r="D24">
        <v>285.14999999999998</v>
      </c>
      <c r="E24">
        <v>0.71560000000000001</v>
      </c>
      <c r="F24">
        <v>0.8</v>
      </c>
      <c r="G24">
        <v>1.0129999999999999</v>
      </c>
      <c r="H24">
        <v>288.14999999999998</v>
      </c>
    </row>
    <row r="25" spans="1:8" x14ac:dyDescent="0.35">
      <c r="A25" s="11" t="s">
        <v>62</v>
      </c>
      <c r="B25" s="11"/>
      <c r="C25" s="11" t="s">
        <v>62</v>
      </c>
      <c r="D25">
        <v>285.14999999999998</v>
      </c>
      <c r="E25">
        <v>0.71560000000000001</v>
      </c>
      <c r="F25">
        <v>0.8</v>
      </c>
      <c r="G25">
        <v>1.0129999999999999</v>
      </c>
      <c r="H25">
        <v>288.14999999999998</v>
      </c>
    </row>
    <row r="26" spans="1:8" x14ac:dyDescent="0.35">
      <c r="A26" s="12">
        <v>9.6500000000000001E-5</v>
      </c>
      <c r="B26" s="12">
        <v>75</v>
      </c>
      <c r="C26" s="12">
        <f>0.0342</f>
        <v>3.4200000000000001E-2</v>
      </c>
      <c r="D26">
        <v>285.14999999999998</v>
      </c>
      <c r="E26">
        <v>0.71560000000000001</v>
      </c>
      <c r="F26">
        <v>0.8</v>
      </c>
      <c r="G26">
        <v>1.0129999999999999</v>
      </c>
      <c r="H26">
        <v>288.14999999999998</v>
      </c>
    </row>
    <row r="27" spans="1:8" x14ac:dyDescent="0.35">
      <c r="A27" s="12">
        <v>2.8400000000000001E-3</v>
      </c>
      <c r="B27" s="12">
        <v>25</v>
      </c>
      <c r="C27" s="12">
        <f>0.0408</f>
        <v>4.0800000000000003E-2</v>
      </c>
      <c r="D27">
        <v>285.14999999999998</v>
      </c>
      <c r="E27">
        <v>0.71560000000000001</v>
      </c>
      <c r="F27">
        <v>0.8</v>
      </c>
      <c r="G27">
        <v>1.0129999999999999</v>
      </c>
      <c r="H27">
        <v>288.14999999999998</v>
      </c>
    </row>
    <row r="28" spans="1:8" x14ac:dyDescent="0.35">
      <c r="A28" s="1">
        <v>3.0499999999999999E-2</v>
      </c>
      <c r="B28" s="1">
        <v>40</v>
      </c>
      <c r="C28" s="1">
        <v>3.8E-3</v>
      </c>
      <c r="D28">
        <v>285.14999999999998</v>
      </c>
      <c r="E28">
        <v>0.71560000000000001</v>
      </c>
      <c r="F28">
        <v>0.8</v>
      </c>
      <c r="G28">
        <v>1.0129999999999999</v>
      </c>
      <c r="H28">
        <v>288.14999999999998</v>
      </c>
    </row>
    <row r="29" spans="1:8" x14ac:dyDescent="0.35">
      <c r="A29" s="12">
        <v>6.41E-5</v>
      </c>
      <c r="B29" s="12">
        <v>80</v>
      </c>
      <c r="C29" s="12">
        <f>0.0515</f>
        <v>5.1499999999999997E-2</v>
      </c>
      <c r="D29">
        <v>285.14999999999998</v>
      </c>
      <c r="E29">
        <v>0.71560000000000001</v>
      </c>
      <c r="F29">
        <v>0.8</v>
      </c>
      <c r="G29">
        <v>1.0129999999999999</v>
      </c>
      <c r="H29">
        <v>288.14999999999998</v>
      </c>
    </row>
    <row r="30" spans="1:8" x14ac:dyDescent="0.35">
      <c r="A30" s="1">
        <v>8.4099999999999995E-4</v>
      </c>
      <c r="B30" s="1">
        <v>90</v>
      </c>
      <c r="C30" s="1">
        <v>7.22E-2</v>
      </c>
      <c r="D30">
        <v>285.14999999999998</v>
      </c>
      <c r="E30">
        <v>0.71560000000000001</v>
      </c>
      <c r="F30">
        <v>0.8</v>
      </c>
      <c r="G30">
        <v>1.0129999999999999</v>
      </c>
      <c r="H30">
        <v>288.14999999999998</v>
      </c>
    </row>
    <row r="31" spans="1:8" x14ac:dyDescent="0.35">
      <c r="A31" s="1">
        <v>2.0899999999999998E-2</v>
      </c>
      <c r="B31" s="1">
        <v>35</v>
      </c>
      <c r="C31" s="1">
        <v>7.4399999999999994E-2</v>
      </c>
      <c r="D31">
        <v>285.14999999999998</v>
      </c>
      <c r="E31">
        <v>0.71560000000000001</v>
      </c>
      <c r="F31">
        <v>0.8</v>
      </c>
      <c r="G31">
        <v>1.0129999999999999</v>
      </c>
      <c r="H31">
        <v>288.14999999999998</v>
      </c>
    </row>
    <row r="32" spans="1:8" x14ac:dyDescent="0.35">
      <c r="A32" s="1">
        <v>5.1200000000000002E-2</v>
      </c>
      <c r="B32" s="1">
        <v>10</v>
      </c>
      <c r="C32" s="1">
        <v>1.43E-2</v>
      </c>
      <c r="D32">
        <v>285.14999999999998</v>
      </c>
      <c r="E32">
        <v>0.71560000000000001</v>
      </c>
      <c r="F32">
        <v>0.8</v>
      </c>
      <c r="G32">
        <v>1.0129999999999999</v>
      </c>
      <c r="H32">
        <v>288.14999999999998</v>
      </c>
    </row>
    <row r="33" spans="1:8" x14ac:dyDescent="0.35">
      <c r="A33" s="1">
        <v>0.10100000000000001</v>
      </c>
      <c r="B33" s="1">
        <v>15</v>
      </c>
      <c r="C33" s="1">
        <v>3.09E-2</v>
      </c>
      <c r="D33">
        <v>285.14999999999998</v>
      </c>
      <c r="E33">
        <v>0.71560000000000001</v>
      </c>
      <c r="F33">
        <v>0.8</v>
      </c>
      <c r="G33">
        <v>1.0129999999999999</v>
      </c>
      <c r="H33">
        <v>288.14999999999998</v>
      </c>
    </row>
    <row r="34" spans="1:8" x14ac:dyDescent="0.35">
      <c r="A34" s="1">
        <v>6.0099999999999997E-3</v>
      </c>
      <c r="B34" s="1">
        <v>10</v>
      </c>
      <c r="C34" s="1">
        <v>2.1499999999999998E-2</v>
      </c>
      <c r="D34">
        <v>285.14999999999998</v>
      </c>
      <c r="E34">
        <v>0.71560000000000001</v>
      </c>
      <c r="F34">
        <v>0.8</v>
      </c>
      <c r="G34">
        <v>1.0129999999999999</v>
      </c>
      <c r="H34">
        <v>288.14999999999998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16314-FD5B-4F98-8A6C-027DD996DA50}">
  <dimension ref="A1:L8"/>
  <sheetViews>
    <sheetView zoomScale="130" zoomScaleNormal="130" workbookViewId="0">
      <selection activeCell="D15" sqref="D15"/>
    </sheetView>
  </sheetViews>
  <sheetFormatPr baseColWidth="10" defaultRowHeight="14.5" x14ac:dyDescent="0.35"/>
  <cols>
    <col min="1" max="1" width="13.36328125" customWidth="1"/>
    <col min="2" max="2" width="16.08984375" customWidth="1"/>
    <col min="3" max="3" width="29.26953125" customWidth="1"/>
    <col min="4" max="4" width="23.1796875" customWidth="1"/>
  </cols>
  <sheetData>
    <row r="1" spans="1:12" s="9" customFormat="1" x14ac:dyDescent="0.35">
      <c r="A1" s="7" t="s">
        <v>6</v>
      </c>
      <c r="B1" s="7" t="s">
        <v>35</v>
      </c>
      <c r="C1" s="7" t="s">
        <v>36</v>
      </c>
      <c r="D1" s="7" t="s">
        <v>34</v>
      </c>
      <c r="E1" s="8"/>
      <c r="F1" s="8"/>
      <c r="G1" s="7" t="s">
        <v>32</v>
      </c>
      <c r="H1" s="8"/>
      <c r="I1" s="8"/>
      <c r="J1" s="7" t="s">
        <v>33</v>
      </c>
      <c r="K1" s="8"/>
      <c r="L1" s="8"/>
    </row>
    <row r="2" spans="1:12" x14ac:dyDescent="0.35">
      <c r="A2" s="5">
        <v>1</v>
      </c>
      <c r="B2" s="6">
        <v>4</v>
      </c>
      <c r="C2" s="6">
        <v>497394</v>
      </c>
      <c r="D2" s="6">
        <v>43.251666666666701</v>
      </c>
      <c r="E2" s="6" t="s">
        <v>29</v>
      </c>
      <c r="F2" s="6"/>
      <c r="G2" s="6">
        <v>11.5</v>
      </c>
      <c r="H2" s="6" t="s">
        <v>31</v>
      </c>
      <c r="I2" s="6"/>
      <c r="J2" s="6">
        <v>65717.14</v>
      </c>
      <c r="K2" s="6"/>
      <c r="L2" s="6"/>
    </row>
    <row r="3" spans="1:12" x14ac:dyDescent="0.35">
      <c r="A3" s="5">
        <v>5</v>
      </c>
      <c r="B3" s="6">
        <v>2.5</v>
      </c>
      <c r="C3" s="6">
        <v>497394</v>
      </c>
      <c r="D3" s="6">
        <f>D2/1000</f>
        <v>4.3251666666666702E-2</v>
      </c>
      <c r="E3" s="6" t="s">
        <v>30</v>
      </c>
      <c r="F3" s="6"/>
      <c r="G3" s="6"/>
      <c r="H3" s="6"/>
      <c r="I3" s="6"/>
      <c r="J3" s="6">
        <v>78860.570000000007</v>
      </c>
      <c r="K3" s="6"/>
      <c r="L3" s="6"/>
    </row>
    <row r="4" spans="1:12" x14ac:dyDescent="0.35">
      <c r="A4" s="5">
        <v>17</v>
      </c>
      <c r="B4" s="6">
        <v>2.2000000000000002</v>
      </c>
      <c r="C4" s="6">
        <v>497394</v>
      </c>
      <c r="D4" s="6"/>
      <c r="E4" s="6"/>
      <c r="F4" s="6"/>
      <c r="G4" s="6"/>
      <c r="H4" s="6"/>
      <c r="I4" s="6"/>
      <c r="J4" s="6"/>
      <c r="K4" s="6"/>
      <c r="L4" s="6"/>
    </row>
    <row r="5" spans="1:12" x14ac:dyDescent="0.35">
      <c r="A5" s="5">
        <v>18</v>
      </c>
      <c r="B5" s="6">
        <v>1.5</v>
      </c>
      <c r="C5" s="6">
        <v>497394</v>
      </c>
      <c r="D5" s="6"/>
      <c r="E5" s="6"/>
      <c r="F5" s="6"/>
      <c r="G5" s="6"/>
      <c r="H5" s="6"/>
      <c r="I5" s="6"/>
      <c r="J5" s="6"/>
      <c r="K5" s="6"/>
      <c r="L5" s="6"/>
    </row>
    <row r="6" spans="1:12" x14ac:dyDescent="0.35">
      <c r="A6" s="5"/>
      <c r="B6" s="6"/>
      <c r="C6" s="6"/>
      <c r="D6" s="6"/>
      <c r="E6" s="6"/>
      <c r="F6" s="6"/>
      <c r="G6" s="6"/>
      <c r="H6" s="6"/>
      <c r="I6" s="6"/>
    </row>
    <row r="7" spans="1:12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D35B-4D6D-4132-9A0A-1A35E8D7BEC0}">
  <dimension ref="A1:D29"/>
  <sheetViews>
    <sheetView zoomScale="113" zoomScaleNormal="107" workbookViewId="0">
      <selection activeCell="C1" sqref="C1:C1048576"/>
    </sheetView>
  </sheetViews>
  <sheetFormatPr baseColWidth="10" defaultRowHeight="14.5" x14ac:dyDescent="0.35"/>
  <sheetData>
    <row r="1" spans="1:4" x14ac:dyDescent="0.35">
      <c r="A1" s="6" t="s">
        <v>15</v>
      </c>
      <c r="B1" s="6" t="s">
        <v>16</v>
      </c>
      <c r="C1" s="6" t="s">
        <v>41</v>
      </c>
      <c r="D1" s="6" t="s">
        <v>42</v>
      </c>
    </row>
    <row r="2" spans="1:4" x14ac:dyDescent="0.35">
      <c r="A2" s="6">
        <v>1</v>
      </c>
      <c r="B2" s="6">
        <v>0</v>
      </c>
      <c r="C2" s="6">
        <v>0</v>
      </c>
      <c r="D2" s="6">
        <v>0</v>
      </c>
    </row>
    <row r="3" spans="1:4" x14ac:dyDescent="0.35">
      <c r="A3" s="6">
        <v>0</v>
      </c>
      <c r="B3" s="6">
        <v>0</v>
      </c>
      <c r="C3" s="6">
        <v>0</v>
      </c>
      <c r="D3" s="6">
        <v>0</v>
      </c>
    </row>
    <row r="4" spans="1:4" x14ac:dyDescent="0.35">
      <c r="A4" s="6">
        <v>0</v>
      </c>
      <c r="B4" s="6">
        <v>0</v>
      </c>
      <c r="C4" s="6">
        <v>0</v>
      </c>
      <c r="D4" s="6">
        <v>0</v>
      </c>
    </row>
    <row r="5" spans="1:4" x14ac:dyDescent="0.35">
      <c r="A5" s="6">
        <v>0</v>
      </c>
      <c r="B5" s="6">
        <v>0</v>
      </c>
      <c r="C5" s="6">
        <v>0</v>
      </c>
      <c r="D5" s="6">
        <v>0</v>
      </c>
    </row>
    <row r="6" spans="1:4" x14ac:dyDescent="0.35">
      <c r="A6" s="6">
        <v>0</v>
      </c>
      <c r="B6" s="6">
        <v>1</v>
      </c>
      <c r="C6" s="6">
        <v>0</v>
      </c>
      <c r="D6" s="6">
        <v>0</v>
      </c>
    </row>
    <row r="7" spans="1:4" x14ac:dyDescent="0.35">
      <c r="A7" s="6">
        <v>0</v>
      </c>
      <c r="B7" s="6">
        <v>0</v>
      </c>
      <c r="C7" s="6">
        <v>0</v>
      </c>
      <c r="D7" s="6">
        <v>0</v>
      </c>
    </row>
    <row r="8" spans="1:4" x14ac:dyDescent="0.35">
      <c r="A8" s="6">
        <v>0</v>
      </c>
      <c r="B8" s="6">
        <v>0</v>
      </c>
      <c r="C8" s="6">
        <v>0</v>
      </c>
      <c r="D8" s="6">
        <v>0</v>
      </c>
    </row>
    <row r="9" spans="1:4" x14ac:dyDescent="0.35">
      <c r="A9" s="6">
        <v>0</v>
      </c>
      <c r="B9" s="6">
        <v>0</v>
      </c>
      <c r="C9" s="6">
        <v>0</v>
      </c>
      <c r="D9" s="6">
        <v>0</v>
      </c>
    </row>
    <row r="10" spans="1:4" x14ac:dyDescent="0.35">
      <c r="A10" s="6">
        <v>0</v>
      </c>
      <c r="B10" s="6">
        <v>0</v>
      </c>
      <c r="C10" s="6">
        <v>0</v>
      </c>
      <c r="D10" s="6">
        <v>0</v>
      </c>
    </row>
    <row r="11" spans="1:4" x14ac:dyDescent="0.35">
      <c r="A11" s="6">
        <v>0</v>
      </c>
      <c r="B11" s="6">
        <v>0</v>
      </c>
      <c r="C11" s="6">
        <v>0</v>
      </c>
      <c r="D11" s="6">
        <v>0</v>
      </c>
    </row>
    <row r="12" spans="1:4" x14ac:dyDescent="0.35">
      <c r="A12" s="6">
        <v>0</v>
      </c>
      <c r="B12" s="6">
        <v>0</v>
      </c>
      <c r="C12" s="6">
        <v>0</v>
      </c>
      <c r="D12" s="6">
        <v>0</v>
      </c>
    </row>
    <row r="13" spans="1:4" x14ac:dyDescent="0.35">
      <c r="A13" s="6">
        <v>0</v>
      </c>
      <c r="B13" s="6">
        <v>0</v>
      </c>
      <c r="C13" s="6">
        <v>0</v>
      </c>
      <c r="D13" s="6">
        <v>0</v>
      </c>
    </row>
    <row r="14" spans="1:4" x14ac:dyDescent="0.35">
      <c r="A14" s="6">
        <v>0</v>
      </c>
      <c r="B14" s="6">
        <v>0</v>
      </c>
      <c r="C14" s="6">
        <v>0</v>
      </c>
      <c r="D14" s="6">
        <v>0</v>
      </c>
    </row>
    <row r="15" spans="1:4" x14ac:dyDescent="0.35">
      <c r="A15" s="6">
        <v>0</v>
      </c>
      <c r="B15" s="6">
        <v>0</v>
      </c>
      <c r="C15" s="6">
        <v>0</v>
      </c>
      <c r="D15" s="6">
        <v>0</v>
      </c>
    </row>
    <row r="16" spans="1:4" x14ac:dyDescent="0.35">
      <c r="A16" s="6">
        <v>0</v>
      </c>
      <c r="B16" s="6">
        <v>0</v>
      </c>
      <c r="C16" s="6">
        <v>0</v>
      </c>
      <c r="D16" s="6">
        <v>0</v>
      </c>
    </row>
    <row r="17" spans="1:4" x14ac:dyDescent="0.35">
      <c r="A17" s="6">
        <v>0</v>
      </c>
      <c r="B17" s="6">
        <v>0</v>
      </c>
      <c r="C17" s="6">
        <v>0</v>
      </c>
      <c r="D17" s="6">
        <v>0</v>
      </c>
    </row>
    <row r="18" spans="1:4" x14ac:dyDescent="0.35">
      <c r="A18" s="6">
        <v>0</v>
      </c>
      <c r="B18" s="6">
        <v>0</v>
      </c>
      <c r="C18" s="6">
        <v>1</v>
      </c>
      <c r="D18" s="6">
        <v>0</v>
      </c>
    </row>
    <row r="19" spans="1:4" x14ac:dyDescent="0.35">
      <c r="A19" s="6">
        <v>0</v>
      </c>
      <c r="B19" s="6">
        <v>0</v>
      </c>
      <c r="C19" s="6">
        <v>0</v>
      </c>
      <c r="D19" s="6">
        <v>1</v>
      </c>
    </row>
    <row r="20" spans="1:4" x14ac:dyDescent="0.35">
      <c r="A20" s="6">
        <v>0</v>
      </c>
      <c r="B20" s="6">
        <v>0</v>
      </c>
      <c r="C20" s="6">
        <v>0</v>
      </c>
      <c r="D20" s="6">
        <v>0</v>
      </c>
    </row>
    <row r="21" spans="1:4" x14ac:dyDescent="0.35">
      <c r="A21" s="6">
        <v>0</v>
      </c>
      <c r="B21" s="6">
        <v>0</v>
      </c>
      <c r="C21" s="6">
        <v>0</v>
      </c>
      <c r="D21" s="6">
        <v>0</v>
      </c>
    </row>
    <row r="22" spans="1:4" x14ac:dyDescent="0.35">
      <c r="A22" s="6">
        <v>0</v>
      </c>
      <c r="B22" s="6">
        <v>0</v>
      </c>
      <c r="C22" s="6">
        <v>0</v>
      </c>
      <c r="D22" s="6">
        <v>0</v>
      </c>
    </row>
    <row r="23" spans="1:4" x14ac:dyDescent="0.35">
      <c r="A23" s="6">
        <v>0</v>
      </c>
      <c r="B23" s="6">
        <v>0</v>
      </c>
      <c r="C23" s="6">
        <v>0</v>
      </c>
      <c r="D23" s="6">
        <v>0</v>
      </c>
    </row>
    <row r="24" spans="1:4" x14ac:dyDescent="0.35">
      <c r="A24" s="6">
        <v>0</v>
      </c>
      <c r="B24" s="6">
        <v>0</v>
      </c>
      <c r="C24" s="6">
        <v>0</v>
      </c>
      <c r="D24" s="6">
        <v>0</v>
      </c>
    </row>
    <row r="25" spans="1:4" x14ac:dyDescent="0.35">
      <c r="A25" s="6">
        <v>0</v>
      </c>
      <c r="B25" s="6">
        <v>0</v>
      </c>
      <c r="C25" s="6">
        <v>0</v>
      </c>
      <c r="D25" s="6">
        <v>0</v>
      </c>
    </row>
    <row r="26" spans="1:4" x14ac:dyDescent="0.35">
      <c r="A26" s="6">
        <v>0</v>
      </c>
      <c r="B26" s="6">
        <v>0</v>
      </c>
      <c r="C26" s="6">
        <v>0</v>
      </c>
      <c r="D26" s="6">
        <v>0</v>
      </c>
    </row>
    <row r="27" spans="1:4" x14ac:dyDescent="0.35">
      <c r="A27" s="6">
        <v>0</v>
      </c>
      <c r="B27" s="6">
        <v>0</v>
      </c>
      <c r="C27" s="6">
        <v>0</v>
      </c>
      <c r="D27" s="6">
        <v>0</v>
      </c>
    </row>
    <row r="28" spans="1:4" x14ac:dyDescent="0.35">
      <c r="A28" s="6">
        <v>0</v>
      </c>
      <c r="B28" s="6">
        <v>0</v>
      </c>
      <c r="C28" s="6">
        <v>0</v>
      </c>
      <c r="D28" s="6">
        <v>0</v>
      </c>
    </row>
    <row r="29" spans="1:4" x14ac:dyDescent="0.35">
      <c r="A29" s="6">
        <v>0</v>
      </c>
      <c r="B29" s="6">
        <v>0</v>
      </c>
      <c r="C29" s="6">
        <v>0</v>
      </c>
      <c r="D29" s="6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D0B4-3325-490B-9BAD-7E92C4F87F7D}">
  <dimension ref="A1:X29"/>
  <sheetViews>
    <sheetView topLeftCell="M1" zoomScale="110" zoomScaleNormal="110" workbookViewId="0">
      <selection activeCell="Y1" sqref="Y1:Z1048576"/>
    </sheetView>
  </sheetViews>
  <sheetFormatPr baseColWidth="10"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</row>
    <row r="2" spans="1:24" x14ac:dyDescent="0.35">
      <c r="A2" s="6">
        <v>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</row>
    <row r="3" spans="1:24" x14ac:dyDescent="0.35">
      <c r="A3" s="6">
        <v>0</v>
      </c>
      <c r="B3" s="6">
        <v>0</v>
      </c>
      <c r="C3" s="6">
        <v>0</v>
      </c>
      <c r="D3" s="6">
        <v>1</v>
      </c>
      <c r="E3" s="6">
        <v>1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</row>
    <row r="4" spans="1:24" x14ac:dyDescent="0.35">
      <c r="A4" s="6">
        <v>0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</row>
    <row r="5" spans="1:24" x14ac:dyDescent="0.35">
      <c r="A5" s="6">
        <v>0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</row>
    <row r="6" spans="1:24" x14ac:dyDescent="0.35">
      <c r="A6" s="6">
        <v>0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</row>
    <row r="7" spans="1:24" x14ac:dyDescent="0.35">
      <c r="A7" s="6">
        <v>0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6">
        <v>1</v>
      </c>
      <c r="Q7" s="6">
        <v>1</v>
      </c>
      <c r="R7" s="6">
        <v>1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</row>
    <row r="8" spans="1:24" x14ac:dyDescent="0.35">
      <c r="A8" s="6">
        <v>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</row>
    <row r="9" spans="1:24" x14ac:dyDescent="0.35">
      <c r="A9" s="6">
        <v>0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</row>
    <row r="10" spans="1:24" x14ac:dyDescent="0.35">
      <c r="A10" s="6">
        <v>0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1</v>
      </c>
      <c r="X10" s="6">
        <v>0</v>
      </c>
    </row>
    <row r="11" spans="1:24" x14ac:dyDescent="0.35">
      <c r="A11" s="6">
        <v>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</row>
    <row r="12" spans="1:24" x14ac:dyDescent="0.35">
      <c r="A12" s="6">
        <v>0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</row>
    <row r="13" spans="1:24" x14ac:dyDescent="0.35">
      <c r="A13" s="6">
        <v>0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</row>
    <row r="14" spans="1:24" x14ac:dyDescent="0.35">
      <c r="A14" s="6">
        <v>1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</row>
    <row r="15" spans="1:24" x14ac:dyDescent="0.35">
      <c r="A15" s="6">
        <v>0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</row>
    <row r="16" spans="1:24" x14ac:dyDescent="0.35">
      <c r="A16" s="6">
        <v>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</row>
    <row r="17" spans="1:24" x14ac:dyDescent="0.35">
      <c r="A17" s="6">
        <v>0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</row>
    <row r="18" spans="1:24" x14ac:dyDescent="0.35">
      <c r="A18" s="6">
        <v>0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</row>
    <row r="19" spans="1:24" x14ac:dyDescent="0.35">
      <c r="A19" s="6">
        <v>0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</row>
    <row r="20" spans="1:24" x14ac:dyDescent="0.35">
      <c r="A20" s="6">
        <v>0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1</v>
      </c>
      <c r="T20" s="6">
        <v>1</v>
      </c>
      <c r="U20" s="6">
        <v>0</v>
      </c>
      <c r="V20" s="6">
        <v>0</v>
      </c>
      <c r="W20" s="6">
        <v>0</v>
      </c>
      <c r="X20" s="6">
        <v>1</v>
      </c>
    </row>
    <row r="21" spans="1:24" x14ac:dyDescent="0.35">
      <c r="A21" s="6">
        <v>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</row>
    <row r="22" spans="1:24" x14ac:dyDescent="0.35">
      <c r="A22" s="6">
        <v>0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</row>
    <row r="23" spans="1:24" x14ac:dyDescent="0.35">
      <c r="A23" s="6">
        <v>0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</row>
    <row r="24" spans="1:24" x14ac:dyDescent="0.35">
      <c r="A24" s="6">
        <v>0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1</v>
      </c>
      <c r="V24" s="6">
        <v>0</v>
      </c>
      <c r="W24" s="6">
        <v>0</v>
      </c>
      <c r="X24" s="6">
        <v>0</v>
      </c>
    </row>
    <row r="25" spans="1:24" x14ac:dyDescent="0.35">
      <c r="A25" s="6">
        <v>0</v>
      </c>
      <c r="B25" s="6">
        <v>1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1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</row>
    <row r="26" spans="1:24" x14ac:dyDescent="0.35">
      <c r="A26" s="6">
        <v>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</row>
    <row r="27" spans="1:24" x14ac:dyDescent="0.35">
      <c r="A27" s="6">
        <v>0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</row>
    <row r="28" spans="1:24" x14ac:dyDescent="0.35">
      <c r="A28" s="6">
        <v>0</v>
      </c>
      <c r="B28" s="6">
        <v>0</v>
      </c>
      <c r="C28" s="6">
        <v>0</v>
      </c>
      <c r="D28" s="6">
        <v>0</v>
      </c>
      <c r="E28" s="6">
        <v>0</v>
      </c>
      <c r="F28" s="6">
        <v>1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</row>
    <row r="29" spans="1:24" x14ac:dyDescent="0.35">
      <c r="A29" s="6">
        <v>0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6758-FEF4-4868-884F-0063B9DCB98B}">
  <dimension ref="A1:L10"/>
  <sheetViews>
    <sheetView zoomScale="123" workbookViewId="0">
      <selection activeCell="G22" sqref="G22"/>
    </sheetView>
  </sheetViews>
  <sheetFormatPr baseColWidth="10" defaultRowHeight="14.5" x14ac:dyDescent="0.35"/>
  <cols>
    <col min="1" max="1" width="14.08984375" customWidth="1"/>
    <col min="2" max="2" width="13.26953125" customWidth="1"/>
    <col min="3" max="3" width="15" customWidth="1"/>
    <col min="4" max="4" width="14.7265625" customWidth="1"/>
    <col min="5" max="5" width="13.54296875" customWidth="1"/>
    <col min="6" max="6" width="14.1796875" customWidth="1"/>
    <col min="7" max="7" width="14.6328125" customWidth="1"/>
    <col min="8" max="8" width="14.453125" customWidth="1"/>
    <col min="10" max="10" width="16.6328125" customWidth="1"/>
    <col min="11" max="11" width="12.54296875" customWidth="1"/>
    <col min="12" max="12" width="14.453125" customWidth="1"/>
    <col min="15" max="15" width="33.7265625" customWidth="1"/>
  </cols>
  <sheetData>
    <row r="1" spans="1:12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 x14ac:dyDescent="0.35">
      <c r="A2">
        <v>1.91478E-2</v>
      </c>
      <c r="B2">
        <v>0</v>
      </c>
      <c r="C2">
        <v>2.87466645418708E-2</v>
      </c>
      <c r="D2">
        <v>2.95428898695036E-2</v>
      </c>
      <c r="E2">
        <v>1.49862883948895E-2</v>
      </c>
      <c r="F2">
        <v>1.2384066103029801E-2</v>
      </c>
      <c r="G2">
        <v>2.8838789313572501E-2</v>
      </c>
      <c r="H2">
        <v>0.247677840558617</v>
      </c>
      <c r="I2">
        <v>0</v>
      </c>
      <c r="J2">
        <v>3.5885819792030899E-2</v>
      </c>
      <c r="K2">
        <v>3.4954944419571803E-2</v>
      </c>
      <c r="L2">
        <v>1.22788810940392E-2</v>
      </c>
    </row>
    <row r="3" spans="1:12" x14ac:dyDescent="0.35">
      <c r="A3">
        <v>2.07838041253419E-2</v>
      </c>
      <c r="B3">
        <v>0</v>
      </c>
      <c r="C3">
        <v>1.91478E-2</v>
      </c>
      <c r="D3">
        <v>1.6728529257218201E-2</v>
      </c>
      <c r="E3">
        <v>1.4103386510377699E-2</v>
      </c>
      <c r="F3">
        <v>1.3929284230330199E-2</v>
      </c>
      <c r="G3">
        <v>2.5725124527127101E-2</v>
      </c>
      <c r="H3">
        <v>1.3574904141280901E-2</v>
      </c>
      <c r="I3">
        <v>0</v>
      </c>
      <c r="J3">
        <v>3.67932223611485E-2</v>
      </c>
      <c r="K3">
        <v>5.0410742928814298E-2</v>
      </c>
      <c r="L3">
        <v>1.7574942953157601E-2</v>
      </c>
    </row>
    <row r="4" spans="1:12" x14ac:dyDescent="0.35">
      <c r="A4">
        <v>2.8362215245008201E-2</v>
      </c>
      <c r="B4">
        <v>0</v>
      </c>
      <c r="C4">
        <v>2.05197736173778E-2</v>
      </c>
      <c r="D4">
        <v>1.8055914760923698E-2</v>
      </c>
      <c r="E4">
        <v>3.3097254269926102E-2</v>
      </c>
      <c r="F4">
        <v>1.39916943840923E-2</v>
      </c>
      <c r="G4">
        <v>1.8572378973773701E-2</v>
      </c>
      <c r="H4">
        <v>1.6167919195918999E-2</v>
      </c>
      <c r="I4">
        <v>0</v>
      </c>
      <c r="J4">
        <v>2.07838041253419E-2</v>
      </c>
      <c r="K4">
        <v>2.6356839534040399E-2</v>
      </c>
      <c r="L4">
        <v>1.24702824752051E-2</v>
      </c>
    </row>
    <row r="5" spans="1:12" x14ac:dyDescent="0.35">
      <c r="A5">
        <v>2.9313962310539801E-2</v>
      </c>
      <c r="B5">
        <v>0</v>
      </c>
      <c r="C5">
        <v>2.9313962310539801E-2</v>
      </c>
      <c r="D5">
        <v>3.0164331789396499E-2</v>
      </c>
      <c r="E5">
        <v>1.1994382901286901E-2</v>
      </c>
      <c r="F5">
        <v>1.1560261253284E-2</v>
      </c>
      <c r="G5">
        <v>3.3014845460623402E-2</v>
      </c>
      <c r="H5">
        <v>2.47611340954676E-2</v>
      </c>
      <c r="I5">
        <v>0</v>
      </c>
      <c r="J5">
        <v>0.34365368362684201</v>
      </c>
      <c r="K5">
        <v>2.57387245378751E-2</v>
      </c>
      <c r="L5">
        <v>2.3730915365283298E-2</v>
      </c>
    </row>
    <row r="6" spans="1:12" x14ac:dyDescent="0.35">
      <c r="A6">
        <v>2.07838041253419E-2</v>
      </c>
      <c r="B6">
        <v>0</v>
      </c>
      <c r="C6">
        <v>1.91478E-2</v>
      </c>
      <c r="D6">
        <v>1.3613278376631999E-2</v>
      </c>
      <c r="E6">
        <v>3.0164331789396499E-2</v>
      </c>
      <c r="F6">
        <v>1.1277469457484E-2</v>
      </c>
      <c r="G6">
        <v>2.0386530822388501E-2</v>
      </c>
      <c r="H6">
        <v>2.75949167708614E-2</v>
      </c>
      <c r="I6">
        <v>0</v>
      </c>
      <c r="J6">
        <v>3.7678837869422201E-2</v>
      </c>
      <c r="K6">
        <v>2.1809144965283599E-2</v>
      </c>
      <c r="L6">
        <v>1.42065345634464E-2</v>
      </c>
    </row>
    <row r="7" spans="1:12" x14ac:dyDescent="0.35">
      <c r="A7">
        <v>3.4480116390213103E-2</v>
      </c>
      <c r="B7">
        <v>0</v>
      </c>
      <c r="C7">
        <v>2.2304705676291E-2</v>
      </c>
      <c r="D7">
        <v>1.8310083750000001E-2</v>
      </c>
      <c r="E7">
        <v>1.72714437266311E-2</v>
      </c>
      <c r="F7">
        <v>1.21645575294473E-2</v>
      </c>
      <c r="G7">
        <v>2.4636829250924301E-2</v>
      </c>
      <c r="H7">
        <v>3.0164331789396499E-2</v>
      </c>
      <c r="I7">
        <v>0</v>
      </c>
      <c r="J7">
        <v>4.3375732264951498E-2</v>
      </c>
      <c r="K7">
        <v>4.26084722233026E-2</v>
      </c>
      <c r="L7">
        <v>4.1827161469004302E-2</v>
      </c>
    </row>
    <row r="8" spans="1:12" x14ac:dyDescent="0.35">
      <c r="A8">
        <v>2.4188034831296199E-2</v>
      </c>
      <c r="B8">
        <v>0</v>
      </c>
      <c r="C8">
        <v>2.3973477375199899E-2</v>
      </c>
      <c r="D8">
        <v>0.291150082114496</v>
      </c>
      <c r="E8">
        <v>1.5556910054700199E-2</v>
      </c>
      <c r="F8">
        <v>2.19647380200606E-2</v>
      </c>
      <c r="G8">
        <v>1.87177774689728E-2</v>
      </c>
      <c r="H8">
        <v>1.2311864170426699E-2</v>
      </c>
      <c r="I8">
        <v>0</v>
      </c>
      <c r="J8">
        <v>2.13024269351564E-2</v>
      </c>
      <c r="K8">
        <v>3.3014845460623402E-2</v>
      </c>
      <c r="L8">
        <v>1.2185585302323301E-2</v>
      </c>
    </row>
    <row r="9" spans="1:12" x14ac:dyDescent="0.35">
      <c r="A9">
        <v>2.6356839534040399E-2</v>
      </c>
      <c r="B9">
        <v>0</v>
      </c>
      <c r="C9">
        <v>2.6356839534040399E-2</v>
      </c>
      <c r="D9">
        <v>1.4177392923398801E-2</v>
      </c>
      <c r="E9">
        <v>1.1489269801157401E-2</v>
      </c>
      <c r="F9">
        <v>1.06549009225848E-2</v>
      </c>
      <c r="G9">
        <v>0.34336550443166097</v>
      </c>
      <c r="H9">
        <v>1.91033362551844E-2</v>
      </c>
      <c r="I9">
        <v>0</v>
      </c>
      <c r="J9">
        <v>2.01876797665358E-2</v>
      </c>
      <c r="K9">
        <v>0.34556873679440298</v>
      </c>
      <c r="L9">
        <v>1.3246504911739501E-2</v>
      </c>
    </row>
    <row r="10" spans="1:12" x14ac:dyDescent="0.35">
      <c r="A10">
        <v>2.3730915365283298E-2</v>
      </c>
      <c r="B10">
        <v>0</v>
      </c>
      <c r="C10">
        <v>2.81680402687743E-2</v>
      </c>
      <c r="D10">
        <v>1.7798186523962398E-2</v>
      </c>
      <c r="E10">
        <v>2.82591284020666E-2</v>
      </c>
      <c r="F10">
        <v>1.3026938645314901E-2</v>
      </c>
      <c r="G10">
        <v>2.1809144965283599E-2</v>
      </c>
      <c r="H10">
        <v>2.6216208314678899E-2</v>
      </c>
      <c r="I10">
        <v>0</v>
      </c>
      <c r="J10">
        <v>2.1809144965283599E-2</v>
      </c>
      <c r="K10">
        <v>3.3998682235226799E-2</v>
      </c>
      <c r="L10">
        <v>1.7369251527086502E-2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A480E-F748-41D3-B727-5F422A537925}">
  <dimension ref="A1:L27"/>
  <sheetViews>
    <sheetView zoomScale="120" zoomScaleNormal="120" workbookViewId="0">
      <selection activeCell="M22" sqref="M22"/>
    </sheetView>
  </sheetViews>
  <sheetFormatPr baseColWidth="10" defaultRowHeight="14.5" x14ac:dyDescent="0.35"/>
  <cols>
    <col min="1" max="1" width="17.6328125" customWidth="1"/>
    <col min="3" max="3" width="17.1796875" customWidth="1"/>
    <col min="4" max="4" width="16.6328125" customWidth="1"/>
    <col min="5" max="5" width="16.08984375" customWidth="1"/>
    <col min="6" max="6" width="19" customWidth="1"/>
    <col min="7" max="7" width="15.54296875" customWidth="1"/>
    <col min="8" max="8" width="16.08984375" customWidth="1"/>
    <col min="10" max="10" width="15.81640625" customWidth="1"/>
    <col min="11" max="11" width="14.08984375" customWidth="1"/>
    <col min="12" max="12" width="15" customWidth="1"/>
  </cols>
  <sheetData>
    <row r="1" spans="1:12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 x14ac:dyDescent="0.35">
      <c r="A2">
        <v>1.531824E-2</v>
      </c>
      <c r="B2">
        <v>0</v>
      </c>
      <c r="C2">
        <v>2.63511091633815E-2</v>
      </c>
      <c r="D2">
        <v>2.8258416396916501E-2</v>
      </c>
      <c r="E2">
        <v>1.22615086867278E-2</v>
      </c>
      <c r="F2">
        <v>8.8949900879153193E-3</v>
      </c>
      <c r="G2">
        <v>2.6451578420393501E-2</v>
      </c>
      <c r="H2">
        <v>0.24752791450500999</v>
      </c>
      <c r="I2">
        <v>0</v>
      </c>
      <c r="J2">
        <v>3.3997092434555599E-2</v>
      </c>
      <c r="K2">
        <v>3.3013003062929001E-2</v>
      </c>
      <c r="L2">
        <v>4.3337227390726901E-3</v>
      </c>
    </row>
    <row r="3" spans="1:12" x14ac:dyDescent="0.35">
      <c r="A3">
        <v>1.7319836771118299E-2</v>
      </c>
      <c r="B3">
        <v>0</v>
      </c>
      <c r="C3">
        <v>1.53182399999999E-2</v>
      </c>
      <c r="D3">
        <v>1.4338739363329901E-2</v>
      </c>
      <c r="E3">
        <v>1.1165180987382299E-2</v>
      </c>
      <c r="F3">
        <v>1.09444376095452E-2</v>
      </c>
      <c r="G3">
        <v>2.30172166821664E-2</v>
      </c>
      <c r="H3">
        <v>1.04896986546261E-2</v>
      </c>
      <c r="I3">
        <v>0</v>
      </c>
      <c r="J3">
        <v>3.4953561243091097E-2</v>
      </c>
      <c r="K3">
        <v>4.90841444306876E-2</v>
      </c>
      <c r="L3">
        <v>1.3299956829416501E-2</v>
      </c>
    </row>
    <row r="4" spans="1:12" x14ac:dyDescent="0.35">
      <c r="A4">
        <v>2.5931168224007501E-2</v>
      </c>
      <c r="B4">
        <v>0</v>
      </c>
      <c r="C4">
        <v>1.7002098140113098E-2</v>
      </c>
      <c r="D4">
        <v>1.5867319032326899E-2</v>
      </c>
      <c r="E4">
        <v>3.1955969639928597E-2</v>
      </c>
      <c r="F4">
        <v>1.1023759211709099E-2</v>
      </c>
      <c r="G4">
        <v>1.45925834793936E-2</v>
      </c>
      <c r="H4">
        <v>1.36805470119315E-2</v>
      </c>
      <c r="I4">
        <v>0</v>
      </c>
      <c r="J4">
        <v>1.7319836771118299E-2</v>
      </c>
      <c r="K4">
        <v>2.3721155580636401E-2</v>
      </c>
      <c r="L4">
        <v>4.8495542959131202E-3</v>
      </c>
    </row>
    <row r="5" spans="1:12" x14ac:dyDescent="0.35">
      <c r="A5">
        <v>2.69688453256966E-2</v>
      </c>
      <c r="B5">
        <v>0</v>
      </c>
      <c r="C5">
        <v>2.69688453256966E-2</v>
      </c>
      <c r="D5">
        <v>2.8907484631505002E-2</v>
      </c>
      <c r="E5">
        <v>8.3439185400257E-3</v>
      </c>
      <c r="F5">
        <v>7.7068408355226801E-3</v>
      </c>
      <c r="G5">
        <v>3.0951417619334499E-2</v>
      </c>
      <c r="H5">
        <v>2.3213563214500899E-2</v>
      </c>
      <c r="I5">
        <v>0</v>
      </c>
      <c r="J5">
        <v>0.34346159101441798</v>
      </c>
      <c r="K5">
        <v>2.30324156938479E-2</v>
      </c>
      <c r="L5">
        <v>2.07645509446229E-2</v>
      </c>
    </row>
    <row r="6" spans="1:12" x14ac:dyDescent="0.35">
      <c r="A6">
        <v>1.7319836771118299E-2</v>
      </c>
      <c r="B6">
        <v>0</v>
      </c>
      <c r="C6">
        <v>1.53182399999999E-2</v>
      </c>
      <c r="D6">
        <v>1.0539312291586099E-2</v>
      </c>
      <c r="E6">
        <v>2.8907484631505002E-2</v>
      </c>
      <c r="F6">
        <v>7.2757867467638801E-3</v>
      </c>
      <c r="G6">
        <v>1.68410472011036E-2</v>
      </c>
      <c r="H6">
        <v>2.6215170932318298E-2</v>
      </c>
      <c r="I6">
        <v>0</v>
      </c>
      <c r="J6">
        <v>3.5884607494687797E-2</v>
      </c>
      <c r="K6">
        <v>1.8537773220491001E-2</v>
      </c>
      <c r="L6">
        <v>8.3567850373214604E-3</v>
      </c>
    </row>
    <row r="7" spans="1:12" x14ac:dyDescent="0.35">
      <c r="A7">
        <v>3.2509824025058101E-2</v>
      </c>
      <c r="B7">
        <v>0</v>
      </c>
      <c r="C7">
        <v>1.9118319151106501E-2</v>
      </c>
      <c r="D7">
        <v>1.6155956249999999E-2</v>
      </c>
      <c r="E7">
        <v>1.4968584563080299E-2</v>
      </c>
      <c r="F7">
        <v>8.5867464913745792E-3</v>
      </c>
      <c r="G7">
        <v>2.1794118183509899E-2</v>
      </c>
      <c r="H7">
        <v>2.8907484631505002E-2</v>
      </c>
      <c r="I7">
        <v>0</v>
      </c>
      <c r="J7">
        <v>4.18265989697746E-2</v>
      </c>
      <c r="K7">
        <v>4.1030380659476597E-2</v>
      </c>
      <c r="L7">
        <v>4.0218424489427203E-2</v>
      </c>
    </row>
    <row r="8" spans="1:12" x14ac:dyDescent="0.35">
      <c r="A8">
        <v>2.12854706515406E-2</v>
      </c>
      <c r="B8">
        <v>0</v>
      </c>
      <c r="C8">
        <v>2.10413366808485E-2</v>
      </c>
      <c r="D8">
        <v>0.29102255251216802</v>
      </c>
      <c r="E8">
        <v>1.29527296686812E-2</v>
      </c>
      <c r="F8">
        <v>2.0204095419241098E-2</v>
      </c>
      <c r="G8">
        <v>1.47771927386627E-2</v>
      </c>
      <c r="H8">
        <v>8.7941886931619494E-3</v>
      </c>
      <c r="I8">
        <v>0</v>
      </c>
      <c r="J8">
        <v>1.7938885840131698E-2</v>
      </c>
      <c r="K8">
        <v>3.0951417619334499E-2</v>
      </c>
      <c r="L8">
        <v>4.0618617674411297E-3</v>
      </c>
    </row>
    <row r="9" spans="1:12" x14ac:dyDescent="0.35">
      <c r="A9">
        <v>2.3721155580636401E-2</v>
      </c>
      <c r="B9">
        <v>0</v>
      </c>
      <c r="C9">
        <v>2.3721155580636401E-2</v>
      </c>
      <c r="D9">
        <v>1.1258517909757799E-2</v>
      </c>
      <c r="E9">
        <v>7.5999392092100798E-3</v>
      </c>
      <c r="F9">
        <v>6.2675887779910996E-3</v>
      </c>
      <c r="G9">
        <v>0.34317325050980702</v>
      </c>
      <c r="H9">
        <v>1.7049727607752099E-2</v>
      </c>
      <c r="I9">
        <v>0</v>
      </c>
      <c r="J9">
        <v>1.65997784989378E-2</v>
      </c>
      <c r="K9">
        <v>0.34537770930032102</v>
      </c>
      <c r="L9">
        <v>6.5939460290738699E-3</v>
      </c>
    </row>
    <row r="10" spans="1:12" x14ac:dyDescent="0.35">
      <c r="A10">
        <v>2.07645509446229E-2</v>
      </c>
      <c r="B10">
        <v>0</v>
      </c>
      <c r="C10">
        <v>2.5718645462793899E-2</v>
      </c>
      <c r="D10">
        <v>1.5573413208467101E-2</v>
      </c>
      <c r="E10">
        <v>2.6913455621015801E-2</v>
      </c>
      <c r="F10">
        <v>9.7702039839861997E-3</v>
      </c>
      <c r="G10">
        <v>1.8537773220491001E-2</v>
      </c>
      <c r="H10">
        <v>2.4759752297196701E-2</v>
      </c>
      <c r="I10">
        <v>0</v>
      </c>
      <c r="J10">
        <v>1.8537773220491001E-2</v>
      </c>
      <c r="K10">
        <v>3.19987597508017E-2</v>
      </c>
      <c r="L10">
        <v>1.3026938645314901E-2</v>
      </c>
    </row>
    <row r="27" spans="9:9" x14ac:dyDescent="0.35">
      <c r="I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Nodes</vt:lpstr>
      <vt:lpstr>Pipelines</vt:lpstr>
      <vt:lpstr>Check</vt:lpstr>
      <vt:lpstr>Well</vt:lpstr>
      <vt:lpstr>GasWellMap</vt:lpstr>
      <vt:lpstr>GFPPMap</vt:lpstr>
      <vt:lpstr>KI</vt:lpstr>
      <vt:lpstr>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Chloé DUPONT</dc:creator>
  <cp:lastModifiedBy>Chloé DUPONT</cp:lastModifiedBy>
  <dcterms:created xsi:type="dcterms:W3CDTF">2024-09-05T15:22:51Z</dcterms:created>
  <dcterms:modified xsi:type="dcterms:W3CDTF">2025-12-26T17:55:07Z</dcterms:modified>
</cp:coreProperties>
</file>